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una\Downloads\"/>
    </mc:Choice>
  </mc:AlternateContent>
  <xr:revisionPtr revIDLastSave="0" documentId="13_ncr:1_{395A6816-658E-4461-9C52-C398BB997087}" xr6:coauthVersionLast="47" xr6:coauthVersionMax="47" xr10:uidLastSave="{00000000-0000-0000-0000-000000000000}"/>
  <bookViews>
    <workbookView xWindow="-108" yWindow="-108" windowWidth="23256" windowHeight="12456" xr2:uid="{11605AC3-2E2C-49E4-A7A4-62D3BF6C795F}"/>
  </bookViews>
  <sheets>
    <sheet name="Theory part" sheetId="1" r:id="rId1"/>
    <sheet name="Road Accident data" sheetId="2" r:id="rId2"/>
    <sheet name="Pivot chart" sheetId="4" r:id="rId3"/>
    <sheet name="Sheet6" sheetId="6" r:id="rId4"/>
    <sheet name="Sheet8" sheetId="8" r:id="rId5"/>
    <sheet name="Sheet9" sheetId="9" r:id="rId6"/>
    <sheet name="SALES DEPT DATA" sheetId="7" r:id="rId7"/>
    <sheet name="Nova_Retail_Sales_Data" sheetId="5" r:id="rId8"/>
  </sheets>
  <calcPr calcId="191029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7" l="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3" i="7"/>
  <c r="L4" i="7"/>
  <c r="L5" i="7"/>
  <c r="L2" i="7"/>
  <c r="E31" i="1"/>
  <c r="E32" i="1"/>
  <c r="E33" i="1"/>
  <c r="E34" i="1"/>
  <c r="E28" i="1"/>
  <c r="E29" i="1"/>
  <c r="E30" i="1"/>
  <c r="E27" i="1"/>
  <c r="D28" i="1"/>
  <c r="D29" i="1"/>
  <c r="D30" i="1"/>
  <c r="D31" i="1"/>
  <c r="D32" i="1"/>
  <c r="D33" i="1"/>
  <c r="D34" i="1"/>
  <c r="D27" i="1"/>
  <c r="M10" i="5"/>
  <c r="M32" i="5"/>
  <c r="M2" i="5"/>
  <c r="M8" i="5"/>
  <c r="M44" i="5"/>
  <c r="M43" i="5"/>
  <c r="M23" i="5"/>
  <c r="M47" i="5"/>
  <c r="M42" i="5"/>
  <c r="M16" i="5"/>
  <c r="M7" i="5"/>
  <c r="M37" i="5"/>
  <c r="M31" i="5"/>
  <c r="M35" i="5"/>
  <c r="M9" i="5"/>
  <c r="M12" i="5"/>
  <c r="M46" i="5"/>
  <c r="M39" i="5"/>
  <c r="M25" i="5"/>
  <c r="M20" i="5"/>
  <c r="M26" i="5"/>
  <c r="M22" i="5"/>
  <c r="M29" i="5"/>
  <c r="M5" i="5"/>
  <c r="M45" i="5"/>
  <c r="M17" i="5"/>
  <c r="M13" i="5"/>
  <c r="M21" i="5"/>
  <c r="M41" i="5"/>
  <c r="M27" i="5"/>
  <c r="M19" i="5"/>
  <c r="M33" i="5"/>
  <c r="M40" i="5"/>
  <c r="M38" i="5"/>
  <c r="M48" i="5"/>
  <c r="M50" i="5"/>
  <c r="M49" i="5"/>
  <c r="M34" i="5"/>
  <c r="M4" i="5"/>
  <c r="M28" i="5"/>
  <c r="M14" i="5"/>
  <c r="M36" i="5"/>
  <c r="M24" i="5"/>
  <c r="M11" i="5"/>
  <c r="M30" i="5"/>
  <c r="M18" i="5"/>
  <c r="M15" i="5"/>
  <c r="M6" i="5"/>
  <c r="M3" i="5"/>
</calcChain>
</file>

<file path=xl/sharedStrings.xml><?xml version="1.0" encoding="utf-8"?>
<sst xmlns="http://schemas.openxmlformats.org/spreadsheetml/2006/main" count="2157" uniqueCount="465">
  <si>
    <t>Emp ID</t>
  </si>
  <si>
    <t>Employee Name</t>
  </si>
  <si>
    <t>Joining Date</t>
  </si>
  <si>
    <t>Experience (Years)</t>
  </si>
  <si>
    <t>Experience (Months)</t>
  </si>
  <si>
    <t>E001</t>
  </si>
  <si>
    <t>Amit Sharma</t>
  </si>
  <si>
    <t>E002</t>
  </si>
  <si>
    <t>Neha Verma</t>
  </si>
  <si>
    <t>E003</t>
  </si>
  <si>
    <t>Rahul Singh</t>
  </si>
  <si>
    <t>E004</t>
  </si>
  <si>
    <t>Pooja Gupta</t>
  </si>
  <si>
    <t>E005</t>
  </si>
  <si>
    <t>Suresh Kumar</t>
  </si>
  <si>
    <t>E006</t>
  </si>
  <si>
    <t>Anjali Mehta</t>
  </si>
  <si>
    <t>E007</t>
  </si>
  <si>
    <t>Vikram Rao</t>
  </si>
  <si>
    <t>E008</t>
  </si>
  <si>
    <t>Sneha Patel</t>
  </si>
  <si>
    <t>Accident ID</t>
  </si>
  <si>
    <t>Date</t>
  </si>
  <si>
    <t>Location</t>
  </si>
  <si>
    <t>Accident Type</t>
  </si>
  <si>
    <t>Vehicle Type</t>
  </si>
  <si>
    <t>Weather Condition</t>
  </si>
  <si>
    <t>Road Condition</t>
  </si>
  <si>
    <t>Severity</t>
  </si>
  <si>
    <t>Cause</t>
  </si>
  <si>
    <t>Casualties</t>
  </si>
  <si>
    <t>AID0001</t>
  </si>
  <si>
    <t>Hyderabad</t>
  </si>
  <si>
    <t>Overturn</t>
  </si>
  <si>
    <t>Auto-Rickshaw</t>
  </si>
  <si>
    <t>Clear</t>
  </si>
  <si>
    <t>Dry</t>
  </si>
  <si>
    <t>Moderate</t>
  </si>
  <si>
    <t>Overtaking</t>
  </si>
  <si>
    <t>AID0002</t>
  </si>
  <si>
    <t>Mumbai</t>
  </si>
  <si>
    <t>Foggy</t>
  </si>
  <si>
    <t>Damaged</t>
  </si>
  <si>
    <t>Distracted Driving</t>
  </si>
  <si>
    <t>AID0003</t>
  </si>
  <si>
    <t>Bicycle</t>
  </si>
  <si>
    <t>Windy</t>
  </si>
  <si>
    <t>Under Construction</t>
  </si>
  <si>
    <t>Fatal</t>
  </si>
  <si>
    <t>AID0004</t>
  </si>
  <si>
    <t>Pune</t>
  </si>
  <si>
    <t>Collision</t>
  </si>
  <si>
    <t>Truck</t>
  </si>
  <si>
    <t>Brake Failure</t>
  </si>
  <si>
    <t>AID0005</t>
  </si>
  <si>
    <t>Bangalore</t>
  </si>
  <si>
    <t>Animal Hit</t>
  </si>
  <si>
    <t>Weather</t>
  </si>
  <si>
    <t>AID0006</t>
  </si>
  <si>
    <t>Car</t>
  </si>
  <si>
    <t>Rainy</t>
  </si>
  <si>
    <t>Minor</t>
  </si>
  <si>
    <t>Drunk Driving</t>
  </si>
  <si>
    <t>AID0007</t>
  </si>
  <si>
    <t>Delhi</t>
  </si>
  <si>
    <t>Speeding</t>
  </si>
  <si>
    <t>AID0008</t>
  </si>
  <si>
    <t>Wet</t>
  </si>
  <si>
    <t>AID0009</t>
  </si>
  <si>
    <t>AID0010</t>
  </si>
  <si>
    <t>Ahmedabad</t>
  </si>
  <si>
    <t>Motorcycle</t>
  </si>
  <si>
    <t>Severe</t>
  </si>
  <si>
    <t>AID0011</t>
  </si>
  <si>
    <t>Object Hit</t>
  </si>
  <si>
    <t>AID0012</t>
  </si>
  <si>
    <t>Pedestrian Hit</t>
  </si>
  <si>
    <t>AID0013</t>
  </si>
  <si>
    <t>AID0014</t>
  </si>
  <si>
    <t>Chennai</t>
  </si>
  <si>
    <t>Bus</t>
  </si>
  <si>
    <t>AID0015</t>
  </si>
  <si>
    <t>AID0016</t>
  </si>
  <si>
    <t>AID0017</t>
  </si>
  <si>
    <t>AID0018</t>
  </si>
  <si>
    <t>Kolkata</t>
  </si>
  <si>
    <t>AID0019</t>
  </si>
  <si>
    <t>AID0020</t>
  </si>
  <si>
    <t>AID0021</t>
  </si>
  <si>
    <t>AID0022</t>
  </si>
  <si>
    <t>AID0023</t>
  </si>
  <si>
    <t>AID0024</t>
  </si>
  <si>
    <t>AID0025</t>
  </si>
  <si>
    <t>AID0026</t>
  </si>
  <si>
    <t>AID0027</t>
  </si>
  <si>
    <t>AID0028</t>
  </si>
  <si>
    <t>AID0029</t>
  </si>
  <si>
    <t>AID0030</t>
  </si>
  <si>
    <t>AID0031</t>
  </si>
  <si>
    <t>AID0032</t>
  </si>
  <si>
    <t>AID0033</t>
  </si>
  <si>
    <t>AID0034</t>
  </si>
  <si>
    <t>AID0035</t>
  </si>
  <si>
    <t>AID0036</t>
  </si>
  <si>
    <t>AID0037</t>
  </si>
  <si>
    <t>AID0038</t>
  </si>
  <si>
    <t>AID0039</t>
  </si>
  <si>
    <t>AID0040</t>
  </si>
  <si>
    <t>AID0041</t>
  </si>
  <si>
    <t>AID0042</t>
  </si>
  <si>
    <t>AID0043</t>
  </si>
  <si>
    <t>AID0044</t>
  </si>
  <si>
    <t>AID0045</t>
  </si>
  <si>
    <t>AID0046</t>
  </si>
  <si>
    <t>AID0047</t>
  </si>
  <si>
    <t>AID0048</t>
  </si>
  <si>
    <t>AID0049</t>
  </si>
  <si>
    <t>AID0050</t>
  </si>
  <si>
    <t>AID0051</t>
  </si>
  <si>
    <t>AID0052</t>
  </si>
  <si>
    <t>AID0053</t>
  </si>
  <si>
    <t>AID0054</t>
  </si>
  <si>
    <t>AID0055</t>
  </si>
  <si>
    <t>AID0056</t>
  </si>
  <si>
    <t>AID0057</t>
  </si>
  <si>
    <t>AID0058</t>
  </si>
  <si>
    <t>AID0059</t>
  </si>
  <si>
    <t>AID0060</t>
  </si>
  <si>
    <t>AID0061</t>
  </si>
  <si>
    <t>AID0062</t>
  </si>
  <si>
    <t>AID0063</t>
  </si>
  <si>
    <t>AID0064</t>
  </si>
  <si>
    <t>AID0065</t>
  </si>
  <si>
    <t>AID0066</t>
  </si>
  <si>
    <t>AID0067</t>
  </si>
  <si>
    <t>AID0068</t>
  </si>
  <si>
    <t>AID0069</t>
  </si>
  <si>
    <t>AID0070</t>
  </si>
  <si>
    <t>AID0071</t>
  </si>
  <si>
    <t>AID0072</t>
  </si>
  <si>
    <t>AID0073</t>
  </si>
  <si>
    <t>AID0074</t>
  </si>
  <si>
    <t>AID0075</t>
  </si>
  <si>
    <t>AID0076</t>
  </si>
  <si>
    <t>AID0077</t>
  </si>
  <si>
    <t>AID0078</t>
  </si>
  <si>
    <t>AID0079</t>
  </si>
  <si>
    <t>AID0080</t>
  </si>
  <si>
    <t>AID0081</t>
  </si>
  <si>
    <t>AID0082</t>
  </si>
  <si>
    <t>AID0083</t>
  </si>
  <si>
    <t>AID0084</t>
  </si>
  <si>
    <t>AID0085</t>
  </si>
  <si>
    <t>AID0086</t>
  </si>
  <si>
    <t>AID0087</t>
  </si>
  <si>
    <t>AID0088</t>
  </si>
  <si>
    <t>AID0089</t>
  </si>
  <si>
    <t>AID0090</t>
  </si>
  <si>
    <t>AID0091</t>
  </si>
  <si>
    <t>AID0092</t>
  </si>
  <si>
    <t>AID0093</t>
  </si>
  <si>
    <t>AID0094</t>
  </si>
  <si>
    <t>AID0095</t>
  </si>
  <si>
    <t>AID0096</t>
  </si>
  <si>
    <t>AID0097</t>
  </si>
  <si>
    <t>AID0098</t>
  </si>
  <si>
    <t>AID0099</t>
  </si>
  <si>
    <t>AID0100</t>
  </si>
  <si>
    <t>Row Labels</t>
  </si>
  <si>
    <t>Grand Total</t>
  </si>
  <si>
    <t>Sum of Casualties</t>
  </si>
  <si>
    <t>Product ID</t>
  </si>
  <si>
    <t>Product Name</t>
  </si>
  <si>
    <t>Stock</t>
  </si>
  <si>
    <t>P001</t>
  </si>
  <si>
    <t>Pen</t>
  </si>
  <si>
    <t>P002</t>
  </si>
  <si>
    <t>Pencil</t>
  </si>
  <si>
    <t>P003</t>
  </si>
  <si>
    <t>Notebook</t>
  </si>
  <si>
    <t>P004</t>
  </si>
  <si>
    <t>Eraser</t>
  </si>
  <si>
    <t>P005</t>
  </si>
  <si>
    <t>Marker</t>
  </si>
  <si>
    <t>P006</t>
  </si>
  <si>
    <t>Scale</t>
  </si>
  <si>
    <t>P007</t>
  </si>
  <si>
    <t>File</t>
  </si>
  <si>
    <t>P008</t>
  </si>
  <si>
    <t>Folder</t>
  </si>
  <si>
    <t>P009</t>
  </si>
  <si>
    <t>Stapler</t>
  </si>
  <si>
    <t>P010</t>
  </si>
  <si>
    <t>Glue</t>
  </si>
  <si>
    <t>Order ID</t>
  </si>
  <si>
    <t>Customer Name</t>
  </si>
  <si>
    <t>Region</t>
  </si>
  <si>
    <t>Product Category</t>
  </si>
  <si>
    <t>Quantity</t>
  </si>
  <si>
    <t>Unit Price (?)</t>
  </si>
  <si>
    <t>Total Sales (?)</t>
  </si>
  <si>
    <t>Profit Margin (%)</t>
  </si>
  <si>
    <t>Customer Age</t>
  </si>
  <si>
    <t>Payment Mode</t>
  </si>
  <si>
    <t>Rahul Sharma</t>
  </si>
  <si>
    <t>North India</t>
  </si>
  <si>
    <t>Electronics</t>
  </si>
  <si>
    <t>Smartwatch</t>
  </si>
  <si>
    <t>Credit Card</t>
  </si>
  <si>
    <t>Amit Verma</t>
  </si>
  <si>
    <t>West India</t>
  </si>
  <si>
    <t>Home Decor</t>
  </si>
  <si>
    <t>Wall Clock</t>
  </si>
  <si>
    <t>COD</t>
  </si>
  <si>
    <t>Sneha Kapoor</t>
  </si>
  <si>
    <t>East India</t>
  </si>
  <si>
    <t>Bluetooth Speaker</t>
  </si>
  <si>
    <t>NetBanking</t>
  </si>
  <si>
    <t>Rajesh Kumar</t>
  </si>
  <si>
    <t>Fashion</t>
  </si>
  <si>
    <t>Jeans</t>
  </si>
  <si>
    <t>Priya Singh</t>
  </si>
  <si>
    <t>South India</t>
  </si>
  <si>
    <t>Laptop</t>
  </si>
  <si>
    <t>UPI</t>
  </si>
  <si>
    <t>Karan Malhotra</t>
  </si>
  <si>
    <t>Sofa Set</t>
  </si>
  <si>
    <t>Neha Gupta</t>
  </si>
  <si>
    <t>Dress</t>
  </si>
  <si>
    <t>Vikram Patel</t>
  </si>
  <si>
    <t>Smartphone</t>
  </si>
  <si>
    <t>Ayesha Kapoor</t>
  </si>
  <si>
    <t>Dining Table Set</t>
  </si>
  <si>
    <t>Amitabh Verma</t>
  </si>
  <si>
    <t>Leather Jacket</t>
  </si>
  <si>
    <t>Sneha Gupta</t>
  </si>
  <si>
    <t>Headphones</t>
  </si>
  <si>
    <t>Nikhil Kumar</t>
  </si>
  <si>
    <t>Floor Lamp</t>
  </si>
  <si>
    <t>Meera Sharma</t>
  </si>
  <si>
    <t>Sneakers</t>
  </si>
  <si>
    <t>Aditya Verma</t>
  </si>
  <si>
    <t>Gaming Console</t>
  </si>
  <si>
    <t>Rohan Malhotra</t>
  </si>
  <si>
    <t>Drone Camera</t>
  </si>
  <si>
    <t>Neha Kapoor</t>
  </si>
  <si>
    <t>TV</t>
  </si>
  <si>
    <t>Kunal Singh</t>
  </si>
  <si>
    <t>Smart Glasses</t>
  </si>
  <si>
    <t>Alisha Roy</t>
  </si>
  <si>
    <t>Recliner Sofa</t>
  </si>
  <si>
    <t>Tarun Mishra</t>
  </si>
  <si>
    <t>Washing Machine</t>
  </si>
  <si>
    <t>Pooja Nair</t>
  </si>
  <si>
    <t>Earbuds</t>
  </si>
  <si>
    <t>Manish Tiwari</t>
  </si>
  <si>
    <t>Formal Shirt</t>
  </si>
  <si>
    <t>Shreya Desai</t>
  </si>
  <si>
    <t>Coffee Table</t>
  </si>
  <si>
    <t>Kabir Joshi</t>
  </si>
  <si>
    <t>Air Conditioner</t>
  </si>
  <si>
    <t>Anita Yadav</t>
  </si>
  <si>
    <t>Running Shoes</t>
  </si>
  <si>
    <t>Vivek Chopra</t>
  </si>
  <si>
    <t>Tablet</t>
  </si>
  <si>
    <t>Simran Kaur</t>
  </si>
  <si>
    <t>Neckband</t>
  </si>
  <si>
    <t>Nitin Bansal</t>
  </si>
  <si>
    <t>Bookshelf</t>
  </si>
  <si>
    <t>Rekha Reddy</t>
  </si>
  <si>
    <t>Microwave</t>
  </si>
  <si>
    <t>Gautam Saxena</t>
  </si>
  <si>
    <t>Backpack</t>
  </si>
  <si>
    <t>Preeti Rawat</t>
  </si>
  <si>
    <t>Gaming Mouse</t>
  </si>
  <si>
    <t>Ashok Sharma</t>
  </si>
  <si>
    <t>Leather Wallet</t>
  </si>
  <si>
    <t>Divya Nair</t>
  </si>
  <si>
    <t>Ceiling Fan</t>
  </si>
  <si>
    <t>Kiran Kapoor</t>
  </si>
  <si>
    <t>Sports Watch</t>
  </si>
  <si>
    <t>Yash Malhotra</t>
  </si>
  <si>
    <t>Router</t>
  </si>
  <si>
    <t>Anurag Verma</t>
  </si>
  <si>
    <t>Smart Bulb</t>
  </si>
  <si>
    <t>Ritika Shah</t>
  </si>
  <si>
    <t>Office Chair</t>
  </si>
  <si>
    <t>Tanmay Goel</t>
  </si>
  <si>
    <t>Blender</t>
  </si>
  <si>
    <t>Varun Singh</t>
  </si>
  <si>
    <t>Perfume</t>
  </si>
  <si>
    <t>Payal Mehta</t>
  </si>
  <si>
    <t>Power Bank</t>
  </si>
  <si>
    <t>Snehal Desai</t>
  </si>
  <si>
    <t>LED Bulb</t>
  </si>
  <si>
    <t>Ajay Patel</t>
  </si>
  <si>
    <t>Gym Gloves</t>
  </si>
  <si>
    <t>Kritika Gupta</t>
  </si>
  <si>
    <t>Wall Art</t>
  </si>
  <si>
    <t>Dinesh Nair</t>
  </si>
  <si>
    <t>Printer</t>
  </si>
  <si>
    <t>Priyanka Rao</t>
  </si>
  <si>
    <t>Sunglasses</t>
  </si>
  <si>
    <t>Harsh Malhotra</t>
  </si>
  <si>
    <t>Speaker</t>
  </si>
  <si>
    <t>Lavanya Kapoor</t>
  </si>
  <si>
    <t>Trolley Bag</t>
  </si>
  <si>
    <t>Aniket Shah</t>
  </si>
  <si>
    <t>Curtains</t>
  </si>
  <si>
    <t>Niharika Joshi</t>
  </si>
  <si>
    <t>Induction Stove</t>
  </si>
  <si>
    <t>Ravi Sharma</t>
  </si>
  <si>
    <t>Travel Pillow</t>
  </si>
  <si>
    <t>Column1</t>
  </si>
  <si>
    <t>Jan</t>
  </si>
  <si>
    <t>Feb</t>
  </si>
  <si>
    <t>Sum of Unit Price (?)</t>
  </si>
  <si>
    <t>Count of Product Name</t>
  </si>
  <si>
    <t>Sum of Total Sales (?)</t>
  </si>
  <si>
    <t>Sum of Profit Margin (%)</t>
  </si>
  <si>
    <t>Customer ID</t>
  </si>
  <si>
    <t>Country</t>
  </si>
  <si>
    <t>State</t>
  </si>
  <si>
    <t>Phone Number</t>
  </si>
  <si>
    <t>Category</t>
  </si>
  <si>
    <t>Product</t>
  </si>
  <si>
    <t>Price</t>
  </si>
  <si>
    <t>Units Sold</t>
  </si>
  <si>
    <t>Profit</t>
  </si>
  <si>
    <t>Mode of Payment</t>
  </si>
  <si>
    <t>Revenue</t>
  </si>
  <si>
    <t>Revenue Label</t>
  </si>
  <si>
    <t>Profit %</t>
  </si>
  <si>
    <t>CUST1000</t>
  </si>
  <si>
    <t>West</t>
  </si>
  <si>
    <t>India</t>
  </si>
  <si>
    <t>Karnataka</t>
  </si>
  <si>
    <t>Clothing</t>
  </si>
  <si>
    <t>Shirt</t>
  </si>
  <si>
    <t>High</t>
  </si>
  <si>
    <t>CUST1001</t>
  </si>
  <si>
    <t>Furniture</t>
  </si>
  <si>
    <t>Table</t>
  </si>
  <si>
    <t>Net Banking</t>
  </si>
  <si>
    <t>CUST1002</t>
  </si>
  <si>
    <t>South</t>
  </si>
  <si>
    <t>West Bengal</t>
  </si>
  <si>
    <t>T-shirt</t>
  </si>
  <si>
    <t>Low</t>
  </si>
  <si>
    <t>CUST1003</t>
  </si>
  <si>
    <t>Sofa</t>
  </si>
  <si>
    <t>Cash</t>
  </si>
  <si>
    <t>Medium</t>
  </si>
  <si>
    <t>CUST1004</t>
  </si>
  <si>
    <t>CUST1005</t>
  </si>
  <si>
    <t>CUST1006</t>
  </si>
  <si>
    <t>East</t>
  </si>
  <si>
    <t>Tamil Nadu</t>
  </si>
  <si>
    <t>CUST1007</t>
  </si>
  <si>
    <t>Chair</t>
  </si>
  <si>
    <t>CUST1008</t>
  </si>
  <si>
    <t>Maharashtra</t>
  </si>
  <si>
    <t>CUST1009</t>
  </si>
  <si>
    <t>Gujarat</t>
  </si>
  <si>
    <t>CUST1010</t>
  </si>
  <si>
    <t>Rajasthan</t>
  </si>
  <si>
    <t>CUST1011</t>
  </si>
  <si>
    <t>CUST1012</t>
  </si>
  <si>
    <t>North</t>
  </si>
  <si>
    <t>CUST1013</t>
  </si>
  <si>
    <t>CUST1014</t>
  </si>
  <si>
    <t>CUST1015</t>
  </si>
  <si>
    <t>Monitor</t>
  </si>
  <si>
    <t>CUST1016</t>
  </si>
  <si>
    <t>Jacket</t>
  </si>
  <si>
    <t>Debit Card</t>
  </si>
  <si>
    <t>CUST1017</t>
  </si>
  <si>
    <t>Uttar Pradesh</t>
  </si>
  <si>
    <t>CUST1018</t>
  </si>
  <si>
    <t>CUST1019</t>
  </si>
  <si>
    <t>CUST1020</t>
  </si>
  <si>
    <t>CUST1021</t>
  </si>
  <si>
    <t>CUST1022</t>
  </si>
  <si>
    <t>CUST1023</t>
  </si>
  <si>
    <t>CUST1024</t>
  </si>
  <si>
    <t>CUST1025</t>
  </si>
  <si>
    <t>CUST1026</t>
  </si>
  <si>
    <t>CUST1027</t>
  </si>
  <si>
    <t>CUST1028</t>
  </si>
  <si>
    <t>CUST1029</t>
  </si>
  <si>
    <t>Cupboard</t>
  </si>
  <si>
    <t>CUST1030</t>
  </si>
  <si>
    <t>CUST1031</t>
  </si>
  <si>
    <t>CUST1032</t>
  </si>
  <si>
    <t>CUST1033</t>
  </si>
  <si>
    <t>CUST1034</t>
  </si>
  <si>
    <t>CUST1035</t>
  </si>
  <si>
    <t>CUST1036</t>
  </si>
  <si>
    <t>CUST1037</t>
  </si>
  <si>
    <t>CUST1038</t>
  </si>
  <si>
    <t>CUST1039</t>
  </si>
  <si>
    <t>CUST1040</t>
  </si>
  <si>
    <t>CUST1041</t>
  </si>
  <si>
    <t>CUST1042</t>
  </si>
  <si>
    <t>CUST1043</t>
  </si>
  <si>
    <t>CUST1044</t>
  </si>
  <si>
    <t>CUST1045</t>
  </si>
  <si>
    <t>CUST1046</t>
  </si>
  <si>
    <t>CUST1047</t>
  </si>
  <si>
    <t>CUST1048</t>
  </si>
  <si>
    <t>CUST1049</t>
  </si>
  <si>
    <t>CUST1050</t>
  </si>
  <si>
    <t>CUST1051</t>
  </si>
  <si>
    <t>CUST1052</t>
  </si>
  <si>
    <t>CUST1053</t>
  </si>
  <si>
    <t>CUST1054</t>
  </si>
  <si>
    <t>CUST1055</t>
  </si>
  <si>
    <t>CUST1056</t>
  </si>
  <si>
    <t>CUST1057</t>
  </si>
  <si>
    <t>CUST1058</t>
  </si>
  <si>
    <t>CUST1059</t>
  </si>
  <si>
    <t>CUST1060</t>
  </si>
  <si>
    <t>CUST1061</t>
  </si>
  <si>
    <t>CUST1062</t>
  </si>
  <si>
    <t>CUST1063</t>
  </si>
  <si>
    <t>CUST1064</t>
  </si>
  <si>
    <t>CUST1065</t>
  </si>
  <si>
    <t>CUST1066</t>
  </si>
  <si>
    <t>CUST1067</t>
  </si>
  <si>
    <t>CUST1068</t>
  </si>
  <si>
    <t>CUST1069</t>
  </si>
  <si>
    <t>CUST1070</t>
  </si>
  <si>
    <t>CUST1071</t>
  </si>
  <si>
    <t>CUST1072</t>
  </si>
  <si>
    <t>CUST1073</t>
  </si>
  <si>
    <t>CUST1074</t>
  </si>
  <si>
    <t>CUST1075</t>
  </si>
  <si>
    <t>CUST1076</t>
  </si>
  <si>
    <t>CUST1077</t>
  </si>
  <si>
    <t>CUST1078</t>
  </si>
  <si>
    <t>CUST1079</t>
  </si>
  <si>
    <t>CUST1080</t>
  </si>
  <si>
    <t>CUST1081</t>
  </si>
  <si>
    <t>CUST1082</t>
  </si>
  <si>
    <t>CUST1083</t>
  </si>
  <si>
    <t>CUST1084</t>
  </si>
  <si>
    <t>CUST1085</t>
  </si>
  <si>
    <t>CUST1086</t>
  </si>
  <si>
    <t>CUST1087</t>
  </si>
  <si>
    <t>CUST1088</t>
  </si>
  <si>
    <t>CUST1089</t>
  </si>
  <si>
    <t>CUST1090</t>
  </si>
  <si>
    <t>CUST1091</t>
  </si>
  <si>
    <t>CUST1092</t>
  </si>
  <si>
    <t>CUST1093</t>
  </si>
  <si>
    <t>CUST1094</t>
  </si>
  <si>
    <t>CUST1095</t>
  </si>
  <si>
    <t>CUST1096</t>
  </si>
  <si>
    <t>CUST1097</t>
  </si>
  <si>
    <t>CUST1098</t>
  </si>
  <si>
    <t>CUST1099</t>
  </si>
  <si>
    <t>profit % formula</t>
  </si>
  <si>
    <t>Sum of Revenue</t>
  </si>
  <si>
    <t>Sum of Profit</t>
  </si>
  <si>
    <t>Sum of Units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</si>
</sst>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EB9C"/>
        <bgColor rgb="FF000000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1" xfId="0" applyBorder="1" applyAlignment="1">
      <alignment wrapText="1"/>
    </xf>
    <xf numFmtId="0" fontId="5" fillId="0" borderId="1" xfId="0" applyFont="1" applyBorder="1" applyAlignment="1">
      <alignment wrapText="1"/>
    </xf>
    <xf numFmtId="14" fontId="5" fillId="0" borderId="1" xfId="0" applyNumberFormat="1" applyFont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5" fillId="0" borderId="2" xfId="0" applyFont="1" applyBorder="1" applyAlignment="1">
      <alignment wrapText="1"/>
    </xf>
    <xf numFmtId="0" fontId="5" fillId="0" borderId="3" xfId="0" applyFont="1" applyBorder="1" applyAlignment="1">
      <alignment horizontal="right"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5" fillId="0" borderId="7" xfId="0" applyFont="1" applyBorder="1" applyAlignment="1">
      <alignment wrapText="1"/>
    </xf>
    <xf numFmtId="14" fontId="5" fillId="0" borderId="8" xfId="0" applyNumberFormat="1" applyFont="1" applyBorder="1" applyAlignment="1">
      <alignment horizontal="right" wrapText="1"/>
    </xf>
    <xf numFmtId="0" fontId="5" fillId="0" borderId="8" xfId="0" applyFont="1" applyBorder="1" applyAlignment="1">
      <alignment wrapText="1"/>
    </xf>
    <xf numFmtId="0" fontId="5" fillId="0" borderId="9" xfId="0" applyFont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2" borderId="0" xfId="0" applyFill="1"/>
    <xf numFmtId="14" fontId="0" fillId="0" borderId="1" xfId="0" applyNumberFormat="1" applyBorder="1" applyAlignment="1">
      <alignment wrapText="1"/>
    </xf>
    <xf numFmtId="0" fontId="3" fillId="0" borderId="10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0" fillId="0" borderId="8" xfId="0" applyBorder="1" applyAlignment="1">
      <alignment horizontal="right" wrapText="1"/>
    </xf>
    <xf numFmtId="14" fontId="0" fillId="0" borderId="8" xfId="0" applyNumberFormat="1" applyBorder="1" applyAlignment="1">
      <alignment wrapText="1"/>
    </xf>
    <xf numFmtId="0" fontId="0" fillId="0" borderId="8" xfId="0" applyBorder="1" applyAlignment="1">
      <alignment wrapText="1"/>
    </xf>
    <xf numFmtId="0" fontId="0" fillId="0" borderId="5" xfId="0" applyBorder="1" applyAlignment="1">
      <alignment horizontal="right" wrapText="1"/>
    </xf>
    <xf numFmtId="0" fontId="3" fillId="0" borderId="12" xfId="0" applyFont="1" applyBorder="1" applyAlignment="1">
      <alignment horizontal="center" vertical="top" wrapText="1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0" fontId="1" fillId="3" borderId="0" xfId="0" applyFont="1" applyFill="1"/>
    <xf numFmtId="0" fontId="2" fillId="4" borderId="0" xfId="0" applyFont="1" applyFill="1"/>
  </cellXfs>
  <cellStyles count="1">
    <cellStyle name="Normal" xfId="0" builtinId="0"/>
  </cellStyles>
  <dxfs count="33">
    <dxf>
      <numFmt numFmtId="0" formatCode="General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19" formatCode="dd/mm/yyyy"/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top style="medium">
          <color rgb="FF000000"/>
        </top>
        <bottom style="medium">
          <color rgb="FFCCCCCC"/>
        </bottom>
      </border>
    </dxf>
    <dxf>
      <alignment horizontal="right" vertical="bottom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[excel.assingment.1.xlsm]Pivot chart!PivotTable2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3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3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3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3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3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3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3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4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5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6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7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8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9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0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1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2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2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  <c:pivotFmt>
        <c:idx val="12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</c:pivotFmt>
    </c:pivotFmts>
    <c:plotArea>
      <c:layout>
        <c:manualLayout>
          <c:layoutTarget val="inner"/>
          <c:xMode val="edge"/>
          <c:yMode val="edge"/>
          <c:x val="0.18888710147790669"/>
          <c:y val="7.0137709501998519E-2"/>
          <c:w val="0.40342402092211593"/>
          <c:h val="0.91956945945482305"/>
        </c:manualLayout>
      </c:layout>
      <c:pieChart>
        <c:varyColors val="1"/>
        <c:ser>
          <c:idx val="0"/>
          <c:order val="0"/>
          <c:tx>
            <c:strRef>
              <c:f>'Pivot chart'!$B$1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ACD7-476E-A4FE-A3A4272F438F}"/>
              </c:ext>
            </c:extLst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CD7-476E-A4FE-A3A4272F438F}"/>
              </c:ext>
            </c:extLst>
          </c:dPt>
          <c:dPt>
            <c:idx val="2"/>
            <c:bubble3D val="0"/>
            <c:spPr>
              <a:pattFill prst="narHorz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ACD7-476E-A4FE-A3A4272F438F}"/>
              </c:ext>
            </c:extLst>
          </c:dPt>
          <c:dPt>
            <c:idx val="3"/>
            <c:bubble3D val="0"/>
            <c:spPr>
              <a:pattFill prst="narHorz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ACD7-476E-A4FE-A3A4272F438F}"/>
              </c:ext>
            </c:extLst>
          </c:dPt>
          <c:dPt>
            <c:idx val="4"/>
            <c:bubble3D val="0"/>
            <c:spPr>
              <a:pattFill prst="narHorz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ACD7-476E-A4FE-A3A4272F438F}"/>
              </c:ext>
            </c:extLst>
          </c:dPt>
          <c:dPt>
            <c:idx val="5"/>
            <c:bubble3D val="0"/>
            <c:spPr>
              <a:pattFill prst="narHorz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ACD7-476E-A4FE-A3A4272F438F}"/>
              </c:ext>
            </c:extLst>
          </c:dPt>
          <c:dPt>
            <c:idx val="6"/>
            <c:bubble3D val="0"/>
            <c:spPr>
              <a:pattFill prst="narHorz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ACD7-476E-A4FE-A3A4272F438F}"/>
              </c:ext>
            </c:extLst>
          </c:dPt>
          <c:dPt>
            <c:idx val="7"/>
            <c:bubble3D val="0"/>
            <c:spPr>
              <a:pattFill prst="narHorz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ACD7-476E-A4FE-A3A4272F438F}"/>
              </c:ext>
            </c:extLst>
          </c:dPt>
          <c:dPt>
            <c:idx val="8"/>
            <c:bubble3D val="0"/>
            <c:spPr>
              <a:pattFill prst="narHorz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ACD7-476E-A4FE-A3A4272F438F}"/>
              </c:ext>
            </c:extLst>
          </c:dPt>
          <c:dPt>
            <c:idx val="9"/>
            <c:bubble3D val="0"/>
            <c:spPr>
              <a:pattFill prst="narHorz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ACD7-476E-A4FE-A3A4272F438F}"/>
              </c:ext>
            </c:extLst>
          </c:dPt>
          <c:dPt>
            <c:idx val="10"/>
            <c:bubble3D val="0"/>
            <c:spPr>
              <a:pattFill prst="narHorz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ACD7-476E-A4FE-A3A4272F438F}"/>
              </c:ext>
            </c:extLst>
          </c:dPt>
          <c:dPt>
            <c:idx val="11"/>
            <c:bubble3D val="0"/>
            <c:spPr>
              <a:pattFill prst="narHorz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ACD7-476E-A4FE-A3A4272F438F}"/>
              </c:ext>
            </c:extLst>
          </c:dPt>
          <c:dPt>
            <c:idx val="12"/>
            <c:bubble3D val="0"/>
            <c:spPr>
              <a:pattFill prst="narHorz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ACD7-476E-A4FE-A3A4272F438F}"/>
              </c:ext>
            </c:extLst>
          </c:dPt>
          <c:dPt>
            <c:idx val="13"/>
            <c:bubble3D val="0"/>
            <c:spPr>
              <a:pattFill prst="narHorz">
                <a:fgClr>
                  <a:schemeClr val="accent2">
                    <a:lumMod val="80000"/>
                    <a:lumOff val="20000"/>
                  </a:schemeClr>
                </a:fgClr>
                <a:bgClr>
                  <a:schemeClr val="accent2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B-ACD7-476E-A4FE-A3A4272F438F}"/>
              </c:ext>
            </c:extLst>
          </c:dPt>
          <c:dPt>
            <c:idx val="14"/>
            <c:bubble3D val="0"/>
            <c:spPr>
              <a:pattFill prst="narHorz">
                <a:fgClr>
                  <a:schemeClr val="accent3">
                    <a:lumMod val="80000"/>
                    <a:lumOff val="20000"/>
                  </a:schemeClr>
                </a:fgClr>
                <a:bgClr>
                  <a:schemeClr val="accent3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D-ACD7-476E-A4FE-A3A4272F438F}"/>
              </c:ext>
            </c:extLst>
          </c:dPt>
          <c:dPt>
            <c:idx val="15"/>
            <c:bubble3D val="0"/>
            <c:spPr>
              <a:pattFill prst="narHorz">
                <a:fgClr>
                  <a:schemeClr val="accent4">
                    <a:lumMod val="80000"/>
                    <a:lumOff val="20000"/>
                  </a:schemeClr>
                </a:fgClr>
                <a:bgClr>
                  <a:schemeClr val="accent4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F-ACD7-476E-A4FE-A3A4272F438F}"/>
              </c:ext>
            </c:extLst>
          </c:dPt>
          <c:dPt>
            <c:idx val="16"/>
            <c:bubble3D val="0"/>
            <c:spPr>
              <a:pattFill prst="narHorz">
                <a:fgClr>
                  <a:schemeClr val="accent5">
                    <a:lumMod val="80000"/>
                    <a:lumOff val="20000"/>
                  </a:schemeClr>
                </a:fgClr>
                <a:bgClr>
                  <a:schemeClr val="accent5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1-ACD7-476E-A4FE-A3A4272F438F}"/>
              </c:ext>
            </c:extLst>
          </c:dPt>
          <c:dPt>
            <c:idx val="17"/>
            <c:bubble3D val="0"/>
            <c:spPr>
              <a:pattFill prst="narHorz">
                <a:fgClr>
                  <a:schemeClr val="accent6">
                    <a:lumMod val="80000"/>
                    <a:lumOff val="20000"/>
                  </a:schemeClr>
                </a:fgClr>
                <a:bgClr>
                  <a:schemeClr val="accent6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3-ACD7-476E-A4FE-A3A4272F438F}"/>
              </c:ext>
            </c:extLst>
          </c:dPt>
          <c:dPt>
            <c:idx val="18"/>
            <c:bubble3D val="0"/>
            <c:spPr>
              <a:pattFill prst="narHorz">
                <a:fgClr>
                  <a:schemeClr val="accent1">
                    <a:lumMod val="80000"/>
                  </a:schemeClr>
                </a:fgClr>
                <a:bgClr>
                  <a:schemeClr val="accent1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5-ACD7-476E-A4FE-A3A4272F438F}"/>
              </c:ext>
            </c:extLst>
          </c:dPt>
          <c:dPt>
            <c:idx val="19"/>
            <c:bubble3D val="0"/>
            <c:spPr>
              <a:pattFill prst="narHorz">
                <a:fgClr>
                  <a:schemeClr val="accent2">
                    <a:lumMod val="80000"/>
                  </a:schemeClr>
                </a:fgClr>
                <a:bgClr>
                  <a:schemeClr val="accent2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7-ACD7-476E-A4FE-A3A4272F438F}"/>
              </c:ext>
            </c:extLst>
          </c:dPt>
          <c:dPt>
            <c:idx val="20"/>
            <c:bubble3D val="0"/>
            <c:spPr>
              <a:pattFill prst="narHorz">
                <a:fgClr>
                  <a:schemeClr val="accent3">
                    <a:lumMod val="80000"/>
                  </a:schemeClr>
                </a:fgClr>
                <a:bgClr>
                  <a:schemeClr val="accent3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9-ACD7-476E-A4FE-A3A4272F438F}"/>
              </c:ext>
            </c:extLst>
          </c:dPt>
          <c:dPt>
            <c:idx val="21"/>
            <c:bubble3D val="0"/>
            <c:spPr>
              <a:pattFill prst="narHorz">
                <a:fgClr>
                  <a:schemeClr val="accent4">
                    <a:lumMod val="80000"/>
                  </a:schemeClr>
                </a:fgClr>
                <a:bgClr>
                  <a:schemeClr val="accent4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B-ACD7-476E-A4FE-A3A4272F438F}"/>
              </c:ext>
            </c:extLst>
          </c:dPt>
          <c:dPt>
            <c:idx val="22"/>
            <c:bubble3D val="0"/>
            <c:spPr>
              <a:pattFill prst="narHorz">
                <a:fgClr>
                  <a:schemeClr val="accent5">
                    <a:lumMod val="80000"/>
                  </a:schemeClr>
                </a:fgClr>
                <a:bgClr>
                  <a:schemeClr val="accent5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D-ACD7-476E-A4FE-A3A4272F438F}"/>
              </c:ext>
            </c:extLst>
          </c:dPt>
          <c:dPt>
            <c:idx val="23"/>
            <c:bubble3D val="0"/>
            <c:spPr>
              <a:pattFill prst="narHorz">
                <a:fgClr>
                  <a:schemeClr val="accent6">
                    <a:lumMod val="80000"/>
                  </a:schemeClr>
                </a:fgClr>
                <a:bgClr>
                  <a:schemeClr val="accent6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F-ACD7-476E-A4FE-A3A4272F438F}"/>
              </c:ext>
            </c:extLst>
          </c:dPt>
          <c:dPt>
            <c:idx val="24"/>
            <c:bubble3D val="0"/>
            <c:spPr>
              <a:pattFill prst="narHorz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accent1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1-ACD7-476E-A4FE-A3A4272F438F}"/>
              </c:ext>
            </c:extLst>
          </c:dPt>
          <c:dPt>
            <c:idx val="25"/>
            <c:bubble3D val="0"/>
            <c:spPr>
              <a:pattFill prst="narHorz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accent2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3-ACD7-476E-A4FE-A3A4272F438F}"/>
              </c:ext>
            </c:extLst>
          </c:dPt>
          <c:dPt>
            <c:idx val="26"/>
            <c:bubble3D val="0"/>
            <c:spPr>
              <a:pattFill prst="narHorz">
                <a:fgClr>
                  <a:schemeClr val="accent3">
                    <a:lumMod val="60000"/>
                    <a:lumOff val="40000"/>
                  </a:schemeClr>
                </a:fgClr>
                <a:bgClr>
                  <a:schemeClr val="accent3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5-ACD7-476E-A4FE-A3A4272F438F}"/>
              </c:ext>
            </c:extLst>
          </c:dPt>
          <c:dPt>
            <c:idx val="27"/>
            <c:bubble3D val="0"/>
            <c:spPr>
              <a:pattFill prst="narHorz">
                <a:fgClr>
                  <a:schemeClr val="accent4">
                    <a:lumMod val="60000"/>
                    <a:lumOff val="40000"/>
                  </a:schemeClr>
                </a:fgClr>
                <a:bgClr>
                  <a:schemeClr val="accent4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7-ACD7-476E-A4FE-A3A4272F438F}"/>
              </c:ext>
            </c:extLst>
          </c:dPt>
          <c:dPt>
            <c:idx val="28"/>
            <c:bubble3D val="0"/>
            <c:spPr>
              <a:pattFill prst="narHorz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accent5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9-ACD7-476E-A4FE-A3A4272F438F}"/>
              </c:ext>
            </c:extLst>
          </c:dPt>
          <c:dPt>
            <c:idx val="29"/>
            <c:bubble3D val="0"/>
            <c:spPr>
              <a:pattFill prst="narHorz">
                <a:fgClr>
                  <a:schemeClr val="accent6">
                    <a:lumMod val="60000"/>
                    <a:lumOff val="40000"/>
                  </a:schemeClr>
                </a:fgClr>
                <a:bgClr>
                  <a:schemeClr val="accent6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B-ACD7-476E-A4FE-A3A4272F438F}"/>
              </c:ext>
            </c:extLst>
          </c:dPt>
          <c:dPt>
            <c:idx val="30"/>
            <c:bubble3D val="0"/>
            <c:spPr>
              <a:pattFill prst="narHorz">
                <a:fgClr>
                  <a:schemeClr val="accent1">
                    <a:lumMod val="50000"/>
                  </a:schemeClr>
                </a:fgClr>
                <a:bgClr>
                  <a:schemeClr val="accent1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D-ACD7-476E-A4FE-A3A4272F438F}"/>
              </c:ext>
            </c:extLst>
          </c:dPt>
          <c:dPt>
            <c:idx val="31"/>
            <c:bubble3D val="0"/>
            <c:spPr>
              <a:pattFill prst="narHorz">
                <a:fgClr>
                  <a:schemeClr val="accent2">
                    <a:lumMod val="50000"/>
                  </a:schemeClr>
                </a:fgClr>
                <a:bgClr>
                  <a:schemeClr val="accent2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F-ACD7-476E-A4FE-A3A4272F438F}"/>
              </c:ext>
            </c:extLst>
          </c:dPt>
          <c:dPt>
            <c:idx val="32"/>
            <c:bubble3D val="0"/>
            <c:spPr>
              <a:pattFill prst="narHorz">
                <a:fgClr>
                  <a:schemeClr val="accent3">
                    <a:lumMod val="50000"/>
                  </a:schemeClr>
                </a:fgClr>
                <a:bgClr>
                  <a:schemeClr val="accent3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1-ACD7-476E-A4FE-A3A4272F438F}"/>
              </c:ext>
            </c:extLst>
          </c:dPt>
          <c:dPt>
            <c:idx val="33"/>
            <c:bubble3D val="0"/>
            <c:spPr>
              <a:pattFill prst="narHorz">
                <a:fgClr>
                  <a:schemeClr val="accent4">
                    <a:lumMod val="50000"/>
                  </a:schemeClr>
                </a:fgClr>
                <a:bgClr>
                  <a:schemeClr val="accent4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3-ACD7-476E-A4FE-A3A4272F438F}"/>
              </c:ext>
            </c:extLst>
          </c:dPt>
          <c:dPt>
            <c:idx val="34"/>
            <c:bubble3D val="0"/>
            <c:spPr>
              <a:pattFill prst="narHorz">
                <a:fgClr>
                  <a:schemeClr val="accent5">
                    <a:lumMod val="50000"/>
                  </a:schemeClr>
                </a:fgClr>
                <a:bgClr>
                  <a:schemeClr val="accent5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5-ACD7-476E-A4FE-A3A4272F438F}"/>
              </c:ext>
            </c:extLst>
          </c:dPt>
          <c:dPt>
            <c:idx val="35"/>
            <c:bubble3D val="0"/>
            <c:spPr>
              <a:pattFill prst="narHorz">
                <a:fgClr>
                  <a:schemeClr val="accent6">
                    <a:lumMod val="50000"/>
                  </a:schemeClr>
                </a:fgClr>
                <a:bgClr>
                  <a:schemeClr val="accent6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7-ACD7-476E-A4FE-A3A4272F438F}"/>
              </c:ext>
            </c:extLst>
          </c:dPt>
          <c:dPt>
            <c:idx val="36"/>
            <c:bubble3D val="0"/>
            <c:spPr>
              <a:pattFill prst="narHorz">
                <a:fgClr>
                  <a:schemeClr val="accent1">
                    <a:lumMod val="70000"/>
                    <a:lumOff val="30000"/>
                  </a:schemeClr>
                </a:fgClr>
                <a:bgClr>
                  <a:schemeClr val="accent1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70000"/>
                    <a:lumOff val="3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9-ACD7-476E-A4FE-A3A4272F438F}"/>
              </c:ext>
            </c:extLst>
          </c:dPt>
          <c:dPt>
            <c:idx val="37"/>
            <c:bubble3D val="0"/>
            <c:spPr>
              <a:pattFill prst="narHorz">
                <a:fgClr>
                  <a:schemeClr val="accent2">
                    <a:lumMod val="70000"/>
                    <a:lumOff val="30000"/>
                  </a:schemeClr>
                </a:fgClr>
                <a:bgClr>
                  <a:schemeClr val="accent2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70000"/>
                    <a:lumOff val="3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B-ACD7-476E-A4FE-A3A4272F438F}"/>
              </c:ext>
            </c:extLst>
          </c:dPt>
          <c:dPt>
            <c:idx val="38"/>
            <c:bubble3D val="0"/>
            <c:spPr>
              <a:pattFill prst="narHorz">
                <a:fgClr>
                  <a:schemeClr val="accent3">
                    <a:lumMod val="70000"/>
                    <a:lumOff val="30000"/>
                  </a:schemeClr>
                </a:fgClr>
                <a:bgClr>
                  <a:schemeClr val="accent3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70000"/>
                    <a:lumOff val="3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D-ACD7-476E-A4FE-A3A4272F438F}"/>
              </c:ext>
            </c:extLst>
          </c:dPt>
          <c:dPt>
            <c:idx val="39"/>
            <c:bubble3D val="0"/>
            <c:spPr>
              <a:pattFill prst="narHorz">
                <a:fgClr>
                  <a:schemeClr val="accent4">
                    <a:lumMod val="70000"/>
                    <a:lumOff val="30000"/>
                  </a:schemeClr>
                </a:fgClr>
                <a:bgClr>
                  <a:schemeClr val="accent4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70000"/>
                    <a:lumOff val="3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4F-ACD7-476E-A4FE-A3A4272F438F}"/>
              </c:ext>
            </c:extLst>
          </c:dPt>
          <c:dPt>
            <c:idx val="40"/>
            <c:bubble3D val="0"/>
            <c:spPr>
              <a:pattFill prst="narHorz">
                <a:fgClr>
                  <a:schemeClr val="accent5">
                    <a:lumMod val="70000"/>
                    <a:lumOff val="30000"/>
                  </a:schemeClr>
                </a:fgClr>
                <a:bgClr>
                  <a:schemeClr val="accent5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70000"/>
                    <a:lumOff val="3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1-ACD7-476E-A4FE-A3A4272F438F}"/>
              </c:ext>
            </c:extLst>
          </c:dPt>
          <c:dPt>
            <c:idx val="41"/>
            <c:bubble3D val="0"/>
            <c:spPr>
              <a:pattFill prst="narHorz">
                <a:fgClr>
                  <a:schemeClr val="accent6">
                    <a:lumMod val="70000"/>
                    <a:lumOff val="30000"/>
                  </a:schemeClr>
                </a:fgClr>
                <a:bgClr>
                  <a:schemeClr val="accent6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70000"/>
                    <a:lumOff val="3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3-ACD7-476E-A4FE-A3A4272F438F}"/>
              </c:ext>
            </c:extLst>
          </c:dPt>
          <c:dPt>
            <c:idx val="42"/>
            <c:bubble3D val="0"/>
            <c:spPr>
              <a:pattFill prst="narHorz">
                <a:fgClr>
                  <a:schemeClr val="accent1">
                    <a:lumMod val="70000"/>
                  </a:schemeClr>
                </a:fgClr>
                <a:bgClr>
                  <a:schemeClr val="accent1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7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5-ACD7-476E-A4FE-A3A4272F438F}"/>
              </c:ext>
            </c:extLst>
          </c:dPt>
          <c:dPt>
            <c:idx val="43"/>
            <c:bubble3D val="0"/>
            <c:spPr>
              <a:pattFill prst="narHorz">
                <a:fgClr>
                  <a:schemeClr val="accent2">
                    <a:lumMod val="70000"/>
                  </a:schemeClr>
                </a:fgClr>
                <a:bgClr>
                  <a:schemeClr val="accent2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7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7-ACD7-476E-A4FE-A3A4272F438F}"/>
              </c:ext>
            </c:extLst>
          </c:dPt>
          <c:dPt>
            <c:idx val="44"/>
            <c:bubble3D val="0"/>
            <c:spPr>
              <a:pattFill prst="narHorz">
                <a:fgClr>
                  <a:schemeClr val="accent3">
                    <a:lumMod val="70000"/>
                  </a:schemeClr>
                </a:fgClr>
                <a:bgClr>
                  <a:schemeClr val="accent3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7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9-ACD7-476E-A4FE-A3A4272F438F}"/>
              </c:ext>
            </c:extLst>
          </c:dPt>
          <c:dPt>
            <c:idx val="45"/>
            <c:bubble3D val="0"/>
            <c:spPr>
              <a:pattFill prst="narHorz">
                <a:fgClr>
                  <a:schemeClr val="accent4">
                    <a:lumMod val="70000"/>
                  </a:schemeClr>
                </a:fgClr>
                <a:bgClr>
                  <a:schemeClr val="accent4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7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B-ACD7-476E-A4FE-A3A4272F438F}"/>
              </c:ext>
            </c:extLst>
          </c:dPt>
          <c:dPt>
            <c:idx val="46"/>
            <c:bubble3D val="0"/>
            <c:spPr>
              <a:pattFill prst="narHorz">
                <a:fgClr>
                  <a:schemeClr val="accent5">
                    <a:lumMod val="70000"/>
                  </a:schemeClr>
                </a:fgClr>
                <a:bgClr>
                  <a:schemeClr val="accent5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7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D-ACD7-476E-A4FE-A3A4272F438F}"/>
              </c:ext>
            </c:extLst>
          </c:dPt>
          <c:dPt>
            <c:idx val="47"/>
            <c:bubble3D val="0"/>
            <c:spPr>
              <a:pattFill prst="narHorz">
                <a:fgClr>
                  <a:schemeClr val="accent6">
                    <a:lumMod val="70000"/>
                  </a:schemeClr>
                </a:fgClr>
                <a:bgClr>
                  <a:schemeClr val="accent6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7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5F-ACD7-476E-A4FE-A3A4272F438F}"/>
              </c:ext>
            </c:extLst>
          </c:dPt>
          <c:dPt>
            <c:idx val="48"/>
            <c:bubble3D val="0"/>
            <c:spPr>
              <a:pattFill prst="narHorz">
                <a:fgClr>
                  <a:schemeClr val="accent1">
                    <a:lumMod val="50000"/>
                    <a:lumOff val="50000"/>
                  </a:schemeClr>
                </a:fgClr>
                <a:bgClr>
                  <a:schemeClr val="accent1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50000"/>
                    <a:lumOff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1-ACD7-476E-A4FE-A3A4272F438F}"/>
              </c:ext>
            </c:extLst>
          </c:dPt>
          <c:dPt>
            <c:idx val="49"/>
            <c:bubble3D val="0"/>
            <c:spPr>
              <a:pattFill prst="narHorz">
                <a:fgClr>
                  <a:schemeClr val="accent2">
                    <a:lumMod val="50000"/>
                    <a:lumOff val="50000"/>
                  </a:schemeClr>
                </a:fgClr>
                <a:bgClr>
                  <a:schemeClr val="accent2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50000"/>
                    <a:lumOff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3-ACD7-476E-A4FE-A3A4272F438F}"/>
              </c:ext>
            </c:extLst>
          </c:dPt>
          <c:dPt>
            <c:idx val="50"/>
            <c:bubble3D val="0"/>
            <c:spPr>
              <a:pattFill prst="narHorz">
                <a:fgClr>
                  <a:schemeClr val="accent3">
                    <a:lumMod val="50000"/>
                    <a:lumOff val="50000"/>
                  </a:schemeClr>
                </a:fgClr>
                <a:bgClr>
                  <a:schemeClr val="accent3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50000"/>
                    <a:lumOff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5-ACD7-476E-A4FE-A3A4272F438F}"/>
              </c:ext>
            </c:extLst>
          </c:dPt>
          <c:dPt>
            <c:idx val="51"/>
            <c:bubble3D val="0"/>
            <c:spPr>
              <a:pattFill prst="narHorz">
                <a:fgClr>
                  <a:schemeClr val="accent4">
                    <a:lumMod val="50000"/>
                    <a:lumOff val="50000"/>
                  </a:schemeClr>
                </a:fgClr>
                <a:bgClr>
                  <a:schemeClr val="accent4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50000"/>
                    <a:lumOff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7-ACD7-476E-A4FE-A3A4272F438F}"/>
              </c:ext>
            </c:extLst>
          </c:dPt>
          <c:dPt>
            <c:idx val="52"/>
            <c:bubble3D val="0"/>
            <c:spPr>
              <a:pattFill prst="narHorz">
                <a:fgClr>
                  <a:schemeClr val="accent5">
                    <a:lumMod val="50000"/>
                    <a:lumOff val="50000"/>
                  </a:schemeClr>
                </a:fgClr>
                <a:bgClr>
                  <a:schemeClr val="accent5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50000"/>
                    <a:lumOff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9-ACD7-476E-A4FE-A3A4272F438F}"/>
              </c:ext>
            </c:extLst>
          </c:dPt>
          <c:dPt>
            <c:idx val="53"/>
            <c:bubble3D val="0"/>
            <c:spPr>
              <a:pattFill prst="narHorz">
                <a:fgClr>
                  <a:schemeClr val="accent6">
                    <a:lumMod val="50000"/>
                    <a:lumOff val="50000"/>
                  </a:schemeClr>
                </a:fgClr>
                <a:bgClr>
                  <a:schemeClr val="accent6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50000"/>
                    <a:lumOff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B-ACD7-476E-A4FE-A3A4272F438F}"/>
              </c:ext>
            </c:extLst>
          </c:dPt>
          <c:dPt>
            <c:idx val="54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D-ACD7-476E-A4FE-A3A4272F438F}"/>
              </c:ext>
            </c:extLst>
          </c:dPt>
          <c:dPt>
            <c:idx val="55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6F-ACD7-476E-A4FE-A3A4272F438F}"/>
              </c:ext>
            </c:extLst>
          </c:dPt>
          <c:dPt>
            <c:idx val="56"/>
            <c:bubble3D val="0"/>
            <c:spPr>
              <a:pattFill prst="narHorz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1-ACD7-476E-A4FE-A3A4272F438F}"/>
              </c:ext>
            </c:extLst>
          </c:dPt>
          <c:dPt>
            <c:idx val="57"/>
            <c:bubble3D val="0"/>
            <c:spPr>
              <a:pattFill prst="narHorz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3-ACD7-476E-A4FE-A3A4272F438F}"/>
              </c:ext>
            </c:extLst>
          </c:dPt>
          <c:dPt>
            <c:idx val="58"/>
            <c:bubble3D val="0"/>
            <c:spPr>
              <a:pattFill prst="narHorz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5-ACD7-476E-A4FE-A3A4272F438F}"/>
              </c:ext>
            </c:extLst>
          </c:dPt>
          <c:dPt>
            <c:idx val="59"/>
            <c:bubble3D val="0"/>
            <c:spPr>
              <a:pattFill prst="narHorz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7-ACD7-476E-A4FE-A3A4272F438F}"/>
              </c:ext>
            </c:extLst>
          </c:dPt>
          <c:dPt>
            <c:idx val="60"/>
            <c:bubble3D val="0"/>
            <c:spPr>
              <a:pattFill prst="narHorz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9-ACD7-476E-A4FE-A3A4272F438F}"/>
              </c:ext>
            </c:extLst>
          </c:dPt>
          <c:dPt>
            <c:idx val="61"/>
            <c:bubble3D val="0"/>
            <c:spPr>
              <a:pattFill prst="narHorz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B-ACD7-476E-A4FE-A3A4272F438F}"/>
              </c:ext>
            </c:extLst>
          </c:dPt>
          <c:dPt>
            <c:idx val="62"/>
            <c:bubble3D val="0"/>
            <c:spPr>
              <a:pattFill prst="narHorz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D-ACD7-476E-A4FE-A3A4272F438F}"/>
              </c:ext>
            </c:extLst>
          </c:dPt>
          <c:dPt>
            <c:idx val="63"/>
            <c:bubble3D val="0"/>
            <c:spPr>
              <a:pattFill prst="narHorz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7F-ACD7-476E-A4FE-A3A4272F438F}"/>
              </c:ext>
            </c:extLst>
          </c:dPt>
          <c:dPt>
            <c:idx val="64"/>
            <c:bubble3D val="0"/>
            <c:spPr>
              <a:pattFill prst="narHorz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1-ACD7-476E-A4FE-A3A4272F438F}"/>
              </c:ext>
            </c:extLst>
          </c:dPt>
          <c:dPt>
            <c:idx val="65"/>
            <c:bubble3D val="0"/>
            <c:spPr>
              <a:pattFill prst="narHorz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3-ACD7-476E-A4FE-A3A4272F438F}"/>
              </c:ext>
            </c:extLst>
          </c:dPt>
          <c:dPt>
            <c:idx val="66"/>
            <c:bubble3D val="0"/>
            <c:spPr>
              <a:pattFill prst="narHorz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5-ACD7-476E-A4FE-A3A4272F438F}"/>
              </c:ext>
            </c:extLst>
          </c:dPt>
          <c:dPt>
            <c:idx val="67"/>
            <c:bubble3D val="0"/>
            <c:spPr>
              <a:pattFill prst="narHorz">
                <a:fgClr>
                  <a:schemeClr val="accent2">
                    <a:lumMod val="80000"/>
                    <a:lumOff val="20000"/>
                  </a:schemeClr>
                </a:fgClr>
                <a:bgClr>
                  <a:schemeClr val="accent2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7-ACD7-476E-A4FE-A3A4272F438F}"/>
              </c:ext>
            </c:extLst>
          </c:dPt>
          <c:dPt>
            <c:idx val="68"/>
            <c:bubble3D val="0"/>
            <c:spPr>
              <a:pattFill prst="narHorz">
                <a:fgClr>
                  <a:schemeClr val="accent3">
                    <a:lumMod val="80000"/>
                    <a:lumOff val="20000"/>
                  </a:schemeClr>
                </a:fgClr>
                <a:bgClr>
                  <a:schemeClr val="accent3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9-ACD7-476E-A4FE-A3A4272F438F}"/>
              </c:ext>
            </c:extLst>
          </c:dPt>
          <c:dPt>
            <c:idx val="69"/>
            <c:bubble3D val="0"/>
            <c:spPr>
              <a:pattFill prst="narHorz">
                <a:fgClr>
                  <a:schemeClr val="accent4">
                    <a:lumMod val="80000"/>
                    <a:lumOff val="20000"/>
                  </a:schemeClr>
                </a:fgClr>
                <a:bgClr>
                  <a:schemeClr val="accent4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B-ACD7-476E-A4FE-A3A4272F438F}"/>
              </c:ext>
            </c:extLst>
          </c:dPt>
          <c:dPt>
            <c:idx val="70"/>
            <c:bubble3D val="0"/>
            <c:spPr>
              <a:pattFill prst="narHorz">
                <a:fgClr>
                  <a:schemeClr val="accent5">
                    <a:lumMod val="80000"/>
                    <a:lumOff val="20000"/>
                  </a:schemeClr>
                </a:fgClr>
                <a:bgClr>
                  <a:schemeClr val="accent5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D-ACD7-476E-A4FE-A3A4272F438F}"/>
              </c:ext>
            </c:extLst>
          </c:dPt>
          <c:dPt>
            <c:idx val="71"/>
            <c:bubble3D val="0"/>
            <c:spPr>
              <a:pattFill prst="narHorz">
                <a:fgClr>
                  <a:schemeClr val="accent6">
                    <a:lumMod val="80000"/>
                    <a:lumOff val="20000"/>
                  </a:schemeClr>
                </a:fgClr>
                <a:bgClr>
                  <a:schemeClr val="accent6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8F-ACD7-476E-A4FE-A3A4272F438F}"/>
              </c:ext>
            </c:extLst>
          </c:dPt>
          <c:dPt>
            <c:idx val="72"/>
            <c:bubble3D val="0"/>
            <c:spPr>
              <a:pattFill prst="narHorz">
                <a:fgClr>
                  <a:schemeClr val="accent1">
                    <a:lumMod val="80000"/>
                  </a:schemeClr>
                </a:fgClr>
                <a:bgClr>
                  <a:schemeClr val="accent1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1-ACD7-476E-A4FE-A3A4272F438F}"/>
              </c:ext>
            </c:extLst>
          </c:dPt>
          <c:dPt>
            <c:idx val="73"/>
            <c:bubble3D val="0"/>
            <c:spPr>
              <a:pattFill prst="narHorz">
                <a:fgClr>
                  <a:schemeClr val="accent2">
                    <a:lumMod val="80000"/>
                  </a:schemeClr>
                </a:fgClr>
                <a:bgClr>
                  <a:schemeClr val="accent2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3-ACD7-476E-A4FE-A3A4272F438F}"/>
              </c:ext>
            </c:extLst>
          </c:dPt>
          <c:dPt>
            <c:idx val="74"/>
            <c:bubble3D val="0"/>
            <c:spPr>
              <a:pattFill prst="narHorz">
                <a:fgClr>
                  <a:schemeClr val="accent3">
                    <a:lumMod val="80000"/>
                  </a:schemeClr>
                </a:fgClr>
                <a:bgClr>
                  <a:schemeClr val="accent3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5-ACD7-476E-A4FE-A3A4272F438F}"/>
              </c:ext>
            </c:extLst>
          </c:dPt>
          <c:dPt>
            <c:idx val="75"/>
            <c:bubble3D val="0"/>
            <c:spPr>
              <a:pattFill prst="narHorz">
                <a:fgClr>
                  <a:schemeClr val="accent4">
                    <a:lumMod val="80000"/>
                  </a:schemeClr>
                </a:fgClr>
                <a:bgClr>
                  <a:schemeClr val="accent4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7-ACD7-476E-A4FE-A3A4272F438F}"/>
              </c:ext>
            </c:extLst>
          </c:dPt>
          <c:dPt>
            <c:idx val="76"/>
            <c:bubble3D val="0"/>
            <c:spPr>
              <a:pattFill prst="narHorz">
                <a:fgClr>
                  <a:schemeClr val="accent5">
                    <a:lumMod val="80000"/>
                  </a:schemeClr>
                </a:fgClr>
                <a:bgClr>
                  <a:schemeClr val="accent5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9-ACD7-476E-A4FE-A3A4272F438F}"/>
              </c:ext>
            </c:extLst>
          </c:dPt>
          <c:dPt>
            <c:idx val="77"/>
            <c:bubble3D val="0"/>
            <c:spPr>
              <a:pattFill prst="narHorz">
                <a:fgClr>
                  <a:schemeClr val="accent6">
                    <a:lumMod val="80000"/>
                  </a:schemeClr>
                </a:fgClr>
                <a:bgClr>
                  <a:schemeClr val="accent6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B-ACD7-476E-A4FE-A3A4272F438F}"/>
              </c:ext>
            </c:extLst>
          </c:dPt>
          <c:dPt>
            <c:idx val="78"/>
            <c:bubble3D val="0"/>
            <c:spPr>
              <a:pattFill prst="narHorz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accent1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D-ACD7-476E-A4FE-A3A4272F438F}"/>
              </c:ext>
            </c:extLst>
          </c:dPt>
          <c:dPt>
            <c:idx val="79"/>
            <c:bubble3D val="0"/>
            <c:spPr>
              <a:pattFill prst="narHorz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accent2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9F-ACD7-476E-A4FE-A3A4272F438F}"/>
              </c:ext>
            </c:extLst>
          </c:dPt>
          <c:dPt>
            <c:idx val="80"/>
            <c:bubble3D val="0"/>
            <c:spPr>
              <a:pattFill prst="narHorz">
                <a:fgClr>
                  <a:schemeClr val="accent3">
                    <a:lumMod val="60000"/>
                    <a:lumOff val="40000"/>
                  </a:schemeClr>
                </a:fgClr>
                <a:bgClr>
                  <a:schemeClr val="accent3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1-ACD7-476E-A4FE-A3A4272F438F}"/>
              </c:ext>
            </c:extLst>
          </c:dPt>
          <c:dPt>
            <c:idx val="81"/>
            <c:bubble3D val="0"/>
            <c:spPr>
              <a:pattFill prst="narHorz">
                <a:fgClr>
                  <a:schemeClr val="accent4">
                    <a:lumMod val="60000"/>
                    <a:lumOff val="40000"/>
                  </a:schemeClr>
                </a:fgClr>
                <a:bgClr>
                  <a:schemeClr val="accent4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3-ACD7-476E-A4FE-A3A4272F438F}"/>
              </c:ext>
            </c:extLst>
          </c:dPt>
          <c:dPt>
            <c:idx val="82"/>
            <c:bubble3D val="0"/>
            <c:spPr>
              <a:pattFill prst="narHorz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accent5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5-ACD7-476E-A4FE-A3A4272F438F}"/>
              </c:ext>
            </c:extLst>
          </c:dPt>
          <c:dPt>
            <c:idx val="83"/>
            <c:bubble3D val="0"/>
            <c:spPr>
              <a:pattFill prst="narHorz">
                <a:fgClr>
                  <a:schemeClr val="accent6">
                    <a:lumMod val="60000"/>
                    <a:lumOff val="40000"/>
                  </a:schemeClr>
                </a:fgClr>
                <a:bgClr>
                  <a:schemeClr val="accent6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  <a:lumOff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7-ACD7-476E-A4FE-A3A4272F438F}"/>
              </c:ext>
            </c:extLst>
          </c:dPt>
          <c:dPt>
            <c:idx val="84"/>
            <c:bubble3D val="0"/>
            <c:spPr>
              <a:pattFill prst="narHorz">
                <a:fgClr>
                  <a:schemeClr val="accent1">
                    <a:lumMod val="50000"/>
                  </a:schemeClr>
                </a:fgClr>
                <a:bgClr>
                  <a:schemeClr val="accent1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9-ACD7-476E-A4FE-A3A4272F438F}"/>
              </c:ext>
            </c:extLst>
          </c:dPt>
          <c:dPt>
            <c:idx val="85"/>
            <c:bubble3D val="0"/>
            <c:spPr>
              <a:pattFill prst="narHorz">
                <a:fgClr>
                  <a:schemeClr val="accent2">
                    <a:lumMod val="50000"/>
                  </a:schemeClr>
                </a:fgClr>
                <a:bgClr>
                  <a:schemeClr val="accent2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B-ACD7-476E-A4FE-A3A4272F438F}"/>
              </c:ext>
            </c:extLst>
          </c:dPt>
          <c:dPt>
            <c:idx val="86"/>
            <c:bubble3D val="0"/>
            <c:spPr>
              <a:pattFill prst="narHorz">
                <a:fgClr>
                  <a:schemeClr val="accent3">
                    <a:lumMod val="50000"/>
                  </a:schemeClr>
                </a:fgClr>
                <a:bgClr>
                  <a:schemeClr val="accent3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D-ACD7-476E-A4FE-A3A4272F438F}"/>
              </c:ext>
            </c:extLst>
          </c:dPt>
          <c:dPt>
            <c:idx val="87"/>
            <c:bubble3D val="0"/>
            <c:spPr>
              <a:pattFill prst="narHorz">
                <a:fgClr>
                  <a:schemeClr val="accent4">
                    <a:lumMod val="50000"/>
                  </a:schemeClr>
                </a:fgClr>
                <a:bgClr>
                  <a:schemeClr val="accent4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AF-ACD7-476E-A4FE-A3A4272F438F}"/>
              </c:ext>
            </c:extLst>
          </c:dPt>
          <c:dPt>
            <c:idx val="88"/>
            <c:bubble3D val="0"/>
            <c:spPr>
              <a:pattFill prst="narHorz">
                <a:fgClr>
                  <a:schemeClr val="accent5">
                    <a:lumMod val="50000"/>
                  </a:schemeClr>
                </a:fgClr>
                <a:bgClr>
                  <a:schemeClr val="accent5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B1-ACD7-476E-A4FE-A3A4272F438F}"/>
              </c:ext>
            </c:extLst>
          </c:dPt>
          <c:dPt>
            <c:idx val="89"/>
            <c:bubble3D val="0"/>
            <c:spPr>
              <a:pattFill prst="narHorz">
                <a:fgClr>
                  <a:schemeClr val="accent6">
                    <a:lumMod val="50000"/>
                  </a:schemeClr>
                </a:fgClr>
                <a:bgClr>
                  <a:schemeClr val="accent6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5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B3-ACD7-476E-A4FE-A3A4272F438F}"/>
              </c:ext>
            </c:extLst>
          </c:dPt>
          <c:dPt>
            <c:idx val="90"/>
            <c:bubble3D val="0"/>
            <c:spPr>
              <a:pattFill prst="narHorz">
                <a:fgClr>
                  <a:schemeClr val="accent1">
                    <a:lumMod val="70000"/>
                    <a:lumOff val="30000"/>
                  </a:schemeClr>
                </a:fgClr>
                <a:bgClr>
                  <a:schemeClr val="accent1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70000"/>
                    <a:lumOff val="3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B5-ACD7-476E-A4FE-A3A4272F438F}"/>
              </c:ext>
            </c:extLst>
          </c:dPt>
          <c:cat>
            <c:multiLvlStrRef>
              <c:f>'Pivot chart'!$A$2:$A$207</c:f>
              <c:multiLvlStrCache>
                <c:ptCount val="91"/>
                <c:lvl>
                  <c:pt idx="0">
                    <c:v>Windy</c:v>
                  </c:pt>
                  <c:pt idx="1">
                    <c:v>Clear</c:v>
                  </c:pt>
                  <c:pt idx="2">
                    <c:v>Rainy</c:v>
                  </c:pt>
                  <c:pt idx="3">
                    <c:v>Windy</c:v>
                  </c:pt>
                  <c:pt idx="4">
                    <c:v>Windy</c:v>
                  </c:pt>
                  <c:pt idx="5">
                    <c:v>Windy</c:v>
                  </c:pt>
                  <c:pt idx="6">
                    <c:v>Clear</c:v>
                  </c:pt>
                  <c:pt idx="7">
                    <c:v>Clear</c:v>
                  </c:pt>
                  <c:pt idx="8">
                    <c:v>Windy</c:v>
                  </c:pt>
                  <c:pt idx="9">
                    <c:v>Clear</c:v>
                  </c:pt>
                  <c:pt idx="10">
                    <c:v>Clear</c:v>
                  </c:pt>
                  <c:pt idx="11">
                    <c:v>Rainy</c:v>
                  </c:pt>
                  <c:pt idx="12">
                    <c:v>Clear</c:v>
                  </c:pt>
                  <c:pt idx="13">
                    <c:v>Rainy</c:v>
                  </c:pt>
                  <c:pt idx="14">
                    <c:v>Windy</c:v>
                  </c:pt>
                  <c:pt idx="15">
                    <c:v>Windy</c:v>
                  </c:pt>
                  <c:pt idx="16">
                    <c:v>Foggy</c:v>
                  </c:pt>
                  <c:pt idx="17">
                    <c:v>Clear</c:v>
                  </c:pt>
                  <c:pt idx="18">
                    <c:v>Foggy</c:v>
                  </c:pt>
                  <c:pt idx="19">
                    <c:v>Windy</c:v>
                  </c:pt>
                  <c:pt idx="20">
                    <c:v>Windy</c:v>
                  </c:pt>
                  <c:pt idx="21">
                    <c:v>Rainy</c:v>
                  </c:pt>
                  <c:pt idx="22">
                    <c:v>Rainy</c:v>
                  </c:pt>
                  <c:pt idx="23">
                    <c:v>Clear</c:v>
                  </c:pt>
                  <c:pt idx="24">
                    <c:v>Rainy</c:v>
                  </c:pt>
                  <c:pt idx="25">
                    <c:v>Clear</c:v>
                  </c:pt>
                  <c:pt idx="26">
                    <c:v>Foggy</c:v>
                  </c:pt>
                  <c:pt idx="27">
                    <c:v>Foggy</c:v>
                  </c:pt>
                  <c:pt idx="28">
                    <c:v>Clear</c:v>
                  </c:pt>
                  <c:pt idx="29">
                    <c:v>Rainy</c:v>
                  </c:pt>
                  <c:pt idx="30">
                    <c:v>Rainy</c:v>
                  </c:pt>
                  <c:pt idx="31">
                    <c:v>Foggy</c:v>
                  </c:pt>
                  <c:pt idx="32">
                    <c:v>Rainy</c:v>
                  </c:pt>
                  <c:pt idx="33">
                    <c:v>Windy</c:v>
                  </c:pt>
                  <c:pt idx="34">
                    <c:v>Rainy</c:v>
                  </c:pt>
                  <c:pt idx="35">
                    <c:v>Rainy</c:v>
                  </c:pt>
                  <c:pt idx="36">
                    <c:v>Foggy</c:v>
                  </c:pt>
                  <c:pt idx="37">
                    <c:v>Clear</c:v>
                  </c:pt>
                  <c:pt idx="38">
                    <c:v>Rainy</c:v>
                  </c:pt>
                  <c:pt idx="39">
                    <c:v>Windy</c:v>
                  </c:pt>
                  <c:pt idx="40">
                    <c:v>Foggy</c:v>
                  </c:pt>
                  <c:pt idx="41">
                    <c:v>Windy</c:v>
                  </c:pt>
                  <c:pt idx="42">
                    <c:v>Clear</c:v>
                  </c:pt>
                  <c:pt idx="43">
                    <c:v>Foggy</c:v>
                  </c:pt>
                  <c:pt idx="44">
                    <c:v>Rainy</c:v>
                  </c:pt>
                  <c:pt idx="45">
                    <c:v>Windy</c:v>
                  </c:pt>
                  <c:pt idx="46">
                    <c:v>Clear</c:v>
                  </c:pt>
                  <c:pt idx="47">
                    <c:v>Foggy</c:v>
                  </c:pt>
                  <c:pt idx="48">
                    <c:v>Windy</c:v>
                  </c:pt>
                  <c:pt idx="49">
                    <c:v>Windy</c:v>
                  </c:pt>
                  <c:pt idx="50">
                    <c:v>Clear</c:v>
                  </c:pt>
                  <c:pt idx="51">
                    <c:v>Foggy</c:v>
                  </c:pt>
                  <c:pt idx="52">
                    <c:v>Windy</c:v>
                  </c:pt>
                  <c:pt idx="53">
                    <c:v>Clear</c:v>
                  </c:pt>
                  <c:pt idx="54">
                    <c:v>Foggy</c:v>
                  </c:pt>
                  <c:pt idx="55">
                    <c:v>Clear</c:v>
                  </c:pt>
                  <c:pt idx="56">
                    <c:v>Foggy</c:v>
                  </c:pt>
                  <c:pt idx="57">
                    <c:v>Clear</c:v>
                  </c:pt>
                  <c:pt idx="58">
                    <c:v>Foggy</c:v>
                  </c:pt>
                  <c:pt idx="59">
                    <c:v>Clear</c:v>
                  </c:pt>
                  <c:pt idx="60">
                    <c:v>Clear</c:v>
                  </c:pt>
                  <c:pt idx="61">
                    <c:v>Clear</c:v>
                  </c:pt>
                  <c:pt idx="62">
                    <c:v>Windy</c:v>
                  </c:pt>
                  <c:pt idx="63">
                    <c:v>Rainy</c:v>
                  </c:pt>
                  <c:pt idx="64">
                    <c:v>Windy</c:v>
                  </c:pt>
                  <c:pt idx="65">
                    <c:v>Clear</c:v>
                  </c:pt>
                  <c:pt idx="66">
                    <c:v>Rainy</c:v>
                  </c:pt>
                  <c:pt idx="67">
                    <c:v>Rainy</c:v>
                  </c:pt>
                  <c:pt idx="68">
                    <c:v>Foggy</c:v>
                  </c:pt>
                  <c:pt idx="69">
                    <c:v>Windy</c:v>
                  </c:pt>
                  <c:pt idx="70">
                    <c:v>Rainy</c:v>
                  </c:pt>
                  <c:pt idx="71">
                    <c:v>Clear</c:v>
                  </c:pt>
                  <c:pt idx="72">
                    <c:v>Foggy</c:v>
                  </c:pt>
                  <c:pt idx="73">
                    <c:v>Windy</c:v>
                  </c:pt>
                  <c:pt idx="74">
                    <c:v>Rainy</c:v>
                  </c:pt>
                  <c:pt idx="75">
                    <c:v>Rainy</c:v>
                  </c:pt>
                  <c:pt idx="76">
                    <c:v>Windy</c:v>
                  </c:pt>
                  <c:pt idx="77">
                    <c:v>Foggy</c:v>
                  </c:pt>
                  <c:pt idx="78">
                    <c:v>Rainy</c:v>
                  </c:pt>
                  <c:pt idx="79">
                    <c:v>Clear</c:v>
                  </c:pt>
                  <c:pt idx="80">
                    <c:v>Clear</c:v>
                  </c:pt>
                  <c:pt idx="81">
                    <c:v>Foggy</c:v>
                  </c:pt>
                  <c:pt idx="82">
                    <c:v>Clear</c:v>
                  </c:pt>
                  <c:pt idx="83">
                    <c:v>Clear</c:v>
                  </c:pt>
                  <c:pt idx="84">
                    <c:v>Windy</c:v>
                  </c:pt>
                  <c:pt idx="85">
                    <c:v>Rainy</c:v>
                  </c:pt>
                  <c:pt idx="86">
                    <c:v>Windy</c:v>
                  </c:pt>
                  <c:pt idx="87">
                    <c:v>Windy</c:v>
                  </c:pt>
                  <c:pt idx="88">
                    <c:v>Clear</c:v>
                  </c:pt>
                  <c:pt idx="89">
                    <c:v>Rainy</c:v>
                  </c:pt>
                  <c:pt idx="90">
                    <c:v>Foggy</c:v>
                  </c:pt>
                </c:lvl>
                <c:lvl>
                  <c:pt idx="0">
                    <c:v>Collision</c:v>
                  </c:pt>
                  <c:pt idx="1">
                    <c:v>Object Hit</c:v>
                  </c:pt>
                  <c:pt idx="2">
                    <c:v>Overturn</c:v>
                  </c:pt>
                  <c:pt idx="4">
                    <c:v>Animal Hit</c:v>
                  </c:pt>
                  <c:pt idx="5">
                    <c:v>Collision</c:v>
                  </c:pt>
                  <c:pt idx="6">
                    <c:v>Collision</c:v>
                  </c:pt>
                  <c:pt idx="7">
                    <c:v>Pedestrian Hit</c:v>
                  </c:pt>
                  <c:pt idx="9">
                    <c:v>Animal Hit</c:v>
                  </c:pt>
                  <c:pt idx="10">
                    <c:v>Collision</c:v>
                  </c:pt>
                  <c:pt idx="11">
                    <c:v>Object Hit</c:v>
                  </c:pt>
                  <c:pt idx="12">
                    <c:v>Animal Hit</c:v>
                  </c:pt>
                  <c:pt idx="15">
                    <c:v>Overturn</c:v>
                  </c:pt>
                  <c:pt idx="16">
                    <c:v>Pedestrian Hit</c:v>
                  </c:pt>
                  <c:pt idx="17">
                    <c:v>Animal Hit</c:v>
                  </c:pt>
                  <c:pt idx="18">
                    <c:v>Overturn</c:v>
                  </c:pt>
                  <c:pt idx="20">
                    <c:v>Overturn</c:v>
                  </c:pt>
                  <c:pt idx="21">
                    <c:v>Pedestrian Hit</c:v>
                  </c:pt>
                  <c:pt idx="22">
                    <c:v>Animal Hit</c:v>
                  </c:pt>
                  <c:pt idx="23">
                    <c:v>Pedestrian Hit</c:v>
                  </c:pt>
                  <c:pt idx="25">
                    <c:v>Object Hit</c:v>
                  </c:pt>
                  <c:pt idx="27">
                    <c:v>Pedestrian Hit</c:v>
                  </c:pt>
                  <c:pt idx="28">
                    <c:v>Animal Hit</c:v>
                  </c:pt>
                  <c:pt idx="30">
                    <c:v>Collision</c:v>
                  </c:pt>
                  <c:pt idx="31">
                    <c:v>Overturn</c:v>
                  </c:pt>
                  <c:pt idx="32">
                    <c:v>Animal Hit</c:v>
                  </c:pt>
                  <c:pt idx="33">
                    <c:v>Object Hit</c:v>
                  </c:pt>
                  <c:pt idx="34">
                    <c:v>Animal Hit</c:v>
                  </c:pt>
                  <c:pt idx="35">
                    <c:v>Collision</c:v>
                  </c:pt>
                  <c:pt idx="36">
                    <c:v>Animal Hit</c:v>
                  </c:pt>
                  <c:pt idx="37">
                    <c:v>Collision</c:v>
                  </c:pt>
                  <c:pt idx="38">
                    <c:v>Overturn</c:v>
                  </c:pt>
                  <c:pt idx="39">
                    <c:v>Pedestrian Hit</c:v>
                  </c:pt>
                  <c:pt idx="40">
                    <c:v>Animal Hit</c:v>
                  </c:pt>
                  <c:pt idx="42">
                    <c:v>Collision</c:v>
                  </c:pt>
                  <c:pt idx="43">
                    <c:v>Object Hit</c:v>
                  </c:pt>
                  <c:pt idx="44">
                    <c:v>Overturn</c:v>
                  </c:pt>
                  <c:pt idx="45">
                    <c:v>Pedestrian Hit</c:v>
                  </c:pt>
                  <c:pt idx="46">
                    <c:v>Animal Hit</c:v>
                  </c:pt>
                  <c:pt idx="47">
                    <c:v>Collision</c:v>
                  </c:pt>
                  <c:pt idx="48">
                    <c:v>Collision</c:v>
                  </c:pt>
                  <c:pt idx="49">
                    <c:v>Object Hit</c:v>
                  </c:pt>
                  <c:pt idx="50">
                    <c:v>Overturn</c:v>
                  </c:pt>
                  <c:pt idx="52">
                    <c:v>Animal Hit</c:v>
                  </c:pt>
                  <c:pt idx="53">
                    <c:v>Overturn</c:v>
                  </c:pt>
                  <c:pt idx="55">
                    <c:v>Animal Hit</c:v>
                  </c:pt>
                  <c:pt idx="56">
                    <c:v>Pedestrian Hit</c:v>
                  </c:pt>
                  <c:pt idx="57">
                    <c:v>Animal Hit</c:v>
                  </c:pt>
                  <c:pt idx="59">
                    <c:v>Overturn</c:v>
                  </c:pt>
                  <c:pt idx="60">
                    <c:v>Animal Hit</c:v>
                  </c:pt>
                  <c:pt idx="61">
                    <c:v>Collision</c:v>
                  </c:pt>
                  <c:pt idx="62">
                    <c:v>Overturn</c:v>
                  </c:pt>
                  <c:pt idx="63">
                    <c:v>Pedestrian Hit</c:v>
                  </c:pt>
                  <c:pt idx="65">
                    <c:v>Animal Hit</c:v>
                  </c:pt>
                  <c:pt idx="66">
                    <c:v>Object Hit</c:v>
                  </c:pt>
                  <c:pt idx="67">
                    <c:v>Overturn</c:v>
                  </c:pt>
                  <c:pt idx="68">
                    <c:v>Collision</c:v>
                  </c:pt>
                  <c:pt idx="69">
                    <c:v>Overturn</c:v>
                  </c:pt>
                  <c:pt idx="70">
                    <c:v>Animal Hit</c:v>
                  </c:pt>
                  <c:pt idx="71">
                    <c:v>Collision</c:v>
                  </c:pt>
                  <c:pt idx="74">
                    <c:v>Animal Hit</c:v>
                  </c:pt>
                  <c:pt idx="75">
                    <c:v>Object Hit</c:v>
                  </c:pt>
                  <c:pt idx="77">
                    <c:v>Overturn</c:v>
                  </c:pt>
                  <c:pt idx="78">
                    <c:v>Animal Hit</c:v>
                  </c:pt>
                  <c:pt idx="79">
                    <c:v>Collision</c:v>
                  </c:pt>
                  <c:pt idx="80">
                    <c:v>Overturn</c:v>
                  </c:pt>
                  <c:pt idx="81">
                    <c:v>Animal Hit</c:v>
                  </c:pt>
                  <c:pt idx="82">
                    <c:v>Collision</c:v>
                  </c:pt>
                  <c:pt idx="83">
                    <c:v>Object Hit</c:v>
                  </c:pt>
                  <c:pt idx="85">
                    <c:v>Overturn</c:v>
                  </c:pt>
                  <c:pt idx="86">
                    <c:v>Animal Hit</c:v>
                  </c:pt>
                  <c:pt idx="87">
                    <c:v>Pedestrian Hit</c:v>
                  </c:pt>
                  <c:pt idx="88">
                    <c:v>Collision</c:v>
                  </c:pt>
                  <c:pt idx="89">
                    <c:v>Overturn</c:v>
                  </c:pt>
                  <c:pt idx="90">
                    <c:v>Pedestrian Hit</c:v>
                  </c:pt>
                </c:lvl>
                <c:lvl>
                  <c:pt idx="0">
                    <c:v>Fatal</c:v>
                  </c:pt>
                  <c:pt idx="1">
                    <c:v>Minor</c:v>
                  </c:pt>
                  <c:pt idx="4">
                    <c:v>Moderate</c:v>
                  </c:pt>
                  <c:pt idx="6">
                    <c:v>Severe</c:v>
                  </c:pt>
                  <c:pt idx="9">
                    <c:v>Fatal</c:v>
                  </c:pt>
                  <c:pt idx="12">
                    <c:v>Minor</c:v>
                  </c:pt>
                  <c:pt idx="17">
                    <c:v>Moderate</c:v>
                  </c:pt>
                  <c:pt idx="20">
                    <c:v>Severe</c:v>
                  </c:pt>
                  <c:pt idx="22">
                    <c:v>Fatal</c:v>
                  </c:pt>
                  <c:pt idx="25">
                    <c:v>Minor</c:v>
                  </c:pt>
                  <c:pt idx="27">
                    <c:v>Moderate</c:v>
                  </c:pt>
                  <c:pt idx="28">
                    <c:v>Severe</c:v>
                  </c:pt>
                  <c:pt idx="32">
                    <c:v>Fatal</c:v>
                  </c:pt>
                  <c:pt idx="34">
                    <c:v>Minor</c:v>
                  </c:pt>
                  <c:pt idx="35">
                    <c:v>Moderate</c:v>
                  </c:pt>
                  <c:pt idx="36">
                    <c:v>Severe</c:v>
                  </c:pt>
                  <c:pt idx="40">
                    <c:v>Fatal</c:v>
                  </c:pt>
                  <c:pt idx="46">
                    <c:v>Minor</c:v>
                  </c:pt>
                  <c:pt idx="48">
                    <c:v>Moderate</c:v>
                  </c:pt>
                  <c:pt idx="52">
                    <c:v>Severe</c:v>
                  </c:pt>
                  <c:pt idx="55">
                    <c:v>Fatal</c:v>
                  </c:pt>
                  <c:pt idx="57">
                    <c:v>Minor</c:v>
                  </c:pt>
                  <c:pt idx="60">
                    <c:v>Moderate</c:v>
                  </c:pt>
                  <c:pt idx="65">
                    <c:v>Severe</c:v>
                  </c:pt>
                  <c:pt idx="68">
                    <c:v>Fatal</c:v>
                  </c:pt>
                  <c:pt idx="70">
                    <c:v>Minor</c:v>
                  </c:pt>
                  <c:pt idx="74">
                    <c:v>Moderate</c:v>
                  </c:pt>
                  <c:pt idx="78">
                    <c:v>Severe</c:v>
                  </c:pt>
                  <c:pt idx="81">
                    <c:v>Fatal</c:v>
                  </c:pt>
                  <c:pt idx="86">
                    <c:v>Minor</c:v>
                  </c:pt>
                  <c:pt idx="88">
                    <c:v>Moderate</c:v>
                  </c:pt>
                  <c:pt idx="89">
                    <c:v>Severe</c:v>
                  </c:pt>
                </c:lvl>
                <c:lvl>
                  <c:pt idx="0">
                    <c:v>Ahmedabad</c:v>
                  </c:pt>
                  <c:pt idx="9">
                    <c:v>Bangalore</c:v>
                  </c:pt>
                  <c:pt idx="22">
                    <c:v>Chennai</c:v>
                  </c:pt>
                  <c:pt idx="32">
                    <c:v>Delhi</c:v>
                  </c:pt>
                  <c:pt idx="40">
                    <c:v>Hyderabad</c:v>
                  </c:pt>
                  <c:pt idx="55">
                    <c:v>Kolkata</c:v>
                  </c:pt>
                  <c:pt idx="68">
                    <c:v>Mumbai</c:v>
                  </c:pt>
                  <c:pt idx="81">
                    <c:v>Pune</c:v>
                  </c:pt>
                </c:lvl>
              </c:multiLvlStrCache>
            </c:multiLvlStrRef>
          </c:cat>
          <c:val>
            <c:numRef>
              <c:f>'Pivot chart'!$B$2:$B$207</c:f>
              <c:numCache>
                <c:formatCode>General</c:formatCode>
                <c:ptCount val="91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1</c:v>
                </c:pt>
                <c:pt idx="15">
                  <c:v>7</c:v>
                </c:pt>
                <c:pt idx="16">
                  <c:v>2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4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4</c:v>
                </c:pt>
                <c:pt idx="30">
                  <c:v>4</c:v>
                </c:pt>
                <c:pt idx="31">
                  <c:v>7</c:v>
                </c:pt>
                <c:pt idx="32">
                  <c:v>1</c:v>
                </c:pt>
                <c:pt idx="33">
                  <c:v>3</c:v>
                </c:pt>
                <c:pt idx="34">
                  <c:v>2</c:v>
                </c:pt>
                <c:pt idx="35">
                  <c:v>5</c:v>
                </c:pt>
                <c:pt idx="36">
                  <c:v>5</c:v>
                </c:pt>
                <c:pt idx="37">
                  <c:v>0</c:v>
                </c:pt>
                <c:pt idx="38">
                  <c:v>4</c:v>
                </c:pt>
                <c:pt idx="39">
                  <c:v>0</c:v>
                </c:pt>
                <c:pt idx="40">
                  <c:v>5</c:v>
                </c:pt>
                <c:pt idx="41">
                  <c:v>4</c:v>
                </c:pt>
                <c:pt idx="42">
                  <c:v>1</c:v>
                </c:pt>
                <c:pt idx="43">
                  <c:v>4</c:v>
                </c:pt>
                <c:pt idx="44">
                  <c:v>1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5</c:v>
                </c:pt>
                <c:pt idx="55">
                  <c:v>0</c:v>
                </c:pt>
                <c:pt idx="56">
                  <c:v>4</c:v>
                </c:pt>
                <c:pt idx="57">
                  <c:v>1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5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0</c:v>
                </c:pt>
                <c:pt idx="71">
                  <c:v>8</c:v>
                </c:pt>
                <c:pt idx="72">
                  <c:v>7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4</c:v>
                </c:pt>
                <c:pt idx="77">
                  <c:v>0</c:v>
                </c:pt>
                <c:pt idx="78">
                  <c:v>4</c:v>
                </c:pt>
                <c:pt idx="79">
                  <c:v>1</c:v>
                </c:pt>
                <c:pt idx="80">
                  <c:v>3</c:v>
                </c:pt>
                <c:pt idx="81">
                  <c:v>2</c:v>
                </c:pt>
                <c:pt idx="82">
                  <c:v>4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5</c:v>
                </c:pt>
                <c:pt idx="87">
                  <c:v>1</c:v>
                </c:pt>
                <c:pt idx="88">
                  <c:v>0</c:v>
                </c:pt>
                <c:pt idx="89">
                  <c:v>2</c:v>
                </c:pt>
                <c:pt idx="9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64A-443C-8D54-49ACFD4C2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30480</xdr:rowOff>
    </xdr:from>
    <xdr:to>
      <xdr:col>35</xdr:col>
      <xdr:colOff>175260</xdr:colOff>
      <xdr:row>24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E480DED-9A6C-33F7-6A7C-9C45E79BC3AA}"/>
            </a:ext>
          </a:extLst>
        </xdr:cNvPr>
        <xdr:cNvSpPr txBox="1"/>
      </xdr:nvSpPr>
      <xdr:spPr>
        <a:xfrm>
          <a:off x="0" y="30480"/>
          <a:ext cx="21732240" cy="4373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/>
            <a:t>Question 6 : Create a dataset of 8 employees with joining dates. Use the dummy dataset to calculate their experience in years and months</a:t>
          </a:r>
        </a:p>
        <a:p>
          <a:r>
            <a:rPr lang="en-IN" sz="1200"/>
            <a:t>ANSWER:- </a:t>
          </a:r>
          <a:r>
            <a:rPr lang="en-IN" sz="1200" b="1"/>
            <a:t>Employee Dataset</a:t>
          </a:r>
        </a:p>
        <a:p>
          <a:r>
            <a:rPr lang="en-IN" sz="1200"/>
            <a:t>Emp IDEmployee NameJoining DateExperience (Years)Experience (Months)E001Amit Sharma15-06-2019E002Neha Verma10-01-2020E003Rahul Singh25-03-2018E004Pooja Gupta01-11-2021E005Suresh Kumar18-07-2017E006Anjali Mehta05-09-2022E007Vikram Rao20-02-2016E008Sneha Patel30-08-2020</a:t>
          </a:r>
        </a:p>
        <a:p>
          <a:r>
            <a:rPr lang="en-IN" sz="1200"/>
            <a:t>Assume </a:t>
          </a:r>
          <a:r>
            <a:rPr lang="en-IN" sz="1200" b="1"/>
            <a:t>Joining Date is in column C</a:t>
          </a:r>
          <a:r>
            <a:rPr lang="en-IN" sz="1200"/>
            <a:t>, and </a:t>
          </a:r>
          <a:r>
            <a:rPr lang="en-IN" sz="1200" b="1"/>
            <a:t>today’s date</a:t>
          </a:r>
          <a:r>
            <a:rPr lang="en-IN" sz="1200"/>
            <a:t> is calculated using </a:t>
          </a:r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TODAY()</a:t>
          </a:r>
          <a:r>
            <a:rPr lang="en-IN" sz="1200"/>
            <a:t>.</a:t>
          </a:r>
        </a:p>
        <a:p>
          <a:br>
            <a:rPr lang="en-IN" sz="1200"/>
          </a:br>
          <a:r>
            <a:rPr lang="en-IN" sz="1200" b="1"/>
            <a:t> Excel Formulas to Calculate Experience</a:t>
          </a:r>
        </a:p>
        <a:p>
          <a:r>
            <a:rPr lang="en-IN" sz="1200" b="1"/>
            <a:t> Experience in Years</a:t>
          </a:r>
        </a:p>
        <a:p>
          <a:r>
            <a:rPr lang="en-IN" sz="1200"/>
            <a:t>(Enter in </a:t>
          </a:r>
          <a:r>
            <a:rPr lang="en-IN" sz="1200" b="1"/>
            <a:t>Column D</a:t>
          </a:r>
          <a:r>
            <a:rPr lang="en-IN" sz="1200"/>
            <a:t>, cell D2)</a:t>
          </a:r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=DATEDIF(C274, TODAY(), "Y")</a:t>
          </a:r>
        </a:p>
        <a:p>
          <a:br>
            <a:rPr lang="en-IN" sz="1200"/>
          </a:br>
          <a:r>
            <a:rPr lang="en-IN" sz="1200" b="1"/>
            <a:t> Experience in Months (Remaining months after years)</a:t>
          </a:r>
        </a:p>
        <a:p>
          <a:r>
            <a:rPr lang="en-IN" sz="1200"/>
            <a:t>(Enter in </a:t>
          </a:r>
          <a:r>
            <a:rPr lang="en-IN" sz="1200" b="1"/>
            <a:t>Column E</a:t>
          </a:r>
          <a:r>
            <a:rPr lang="en-IN" sz="1200"/>
            <a:t>, cell E2)</a:t>
          </a:r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=DATEDIF(C274, TODAY(), "YM")</a:t>
          </a:r>
        </a:p>
        <a:p>
          <a:br>
            <a:rPr lang="en-IN" sz="1200"/>
          </a:br>
          <a:r>
            <a:rPr lang="en-IN" sz="1200" b="1"/>
            <a:t> Explanation</a:t>
          </a:r>
        </a:p>
        <a:p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DATEDIF()</a:t>
          </a:r>
          <a:r>
            <a:rPr lang="en-IN" sz="1200"/>
            <a:t> calculates the difference between two dates</a:t>
          </a:r>
        </a:p>
        <a:p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"Y"</a:t>
          </a:r>
          <a:r>
            <a:rPr lang="en-IN" sz="1200"/>
            <a:t> → completed years</a:t>
          </a:r>
        </a:p>
        <a:p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"YM"</a:t>
          </a:r>
          <a:r>
            <a:rPr lang="en-IN" sz="1200"/>
            <a:t> → remaining months after years</a:t>
          </a:r>
        </a:p>
        <a:p>
          <a:r>
            <a:rPr lang="en-IN" sz="1200"/>
            <a:t>Copy both formulas down for all employees.</a:t>
          </a:r>
        </a:p>
        <a:p>
          <a:br>
            <a:rPr lang="en-IN" sz="1200"/>
          </a:br>
          <a:r>
            <a:rPr lang="en-IN" sz="1200" b="1"/>
            <a:t>Final Output Example (Sample)</a:t>
          </a:r>
        </a:p>
        <a:p>
          <a:r>
            <a:rPr lang="en-IN" sz="1200"/>
            <a:t>Employee NameExperienceAmit Sharma6 Years 6 MonthsNeha Verma5 Years 11 MonthsRahul Singh7 Years 9 Months</a:t>
          </a:r>
        </a:p>
        <a:p>
          <a:endParaRPr lang="en-IN" sz="1200"/>
        </a:p>
        <a:p>
          <a:endParaRPr lang="en-IN" sz="1200"/>
        </a:p>
        <a:p>
          <a:endParaRPr lang="en-IN" sz="1800"/>
        </a:p>
      </xdr:txBody>
    </xdr:sp>
    <xdr:clientData/>
  </xdr:twoCellAnchor>
  <xdr:oneCellAnchor>
    <xdr:from>
      <xdr:col>0</xdr:col>
      <xdr:colOff>0</xdr:colOff>
      <xdr:row>35</xdr:row>
      <xdr:rowOff>144780</xdr:rowOff>
    </xdr:from>
    <xdr:ext cx="14752320" cy="163677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331E98-EFEA-66EE-5DE8-9DABF1F8E346}"/>
            </a:ext>
          </a:extLst>
        </xdr:cNvPr>
        <xdr:cNvSpPr txBox="1"/>
      </xdr:nvSpPr>
      <xdr:spPr>
        <a:xfrm>
          <a:off x="0" y="53545740"/>
          <a:ext cx="14752320" cy="163677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 b="1"/>
            <a:t>Question 7 : </a:t>
          </a:r>
          <a:r>
            <a:rPr lang="en-IN" sz="1600"/>
            <a:t>You are provided with a dataset containing details of 100 road accidents.Design a Road Accident Analysis Dashboard using Pivot Tables and Slicers in Excel. </a:t>
          </a:r>
        </a:p>
        <a:p>
          <a:r>
            <a:rPr lang="en-IN" sz="1600"/>
            <a:t>ANSWER:-</a:t>
          </a:r>
          <a:r>
            <a:rPr lang="en-IN" sz="1200"/>
            <a:t>The dataset contains </a:t>
          </a:r>
          <a:r>
            <a:rPr lang="en-IN" sz="1200" b="1"/>
            <a:t>100 road accident records</a:t>
          </a:r>
          <a:r>
            <a:rPr lang="en-IN" sz="1200"/>
            <a:t> with the following fields:</a:t>
          </a:r>
        </a:p>
        <a:p>
          <a:r>
            <a:rPr lang="en-IN" sz="1200"/>
            <a:t>Accident ID</a:t>
          </a:r>
        </a:p>
        <a:p>
          <a:r>
            <a:rPr lang="en-IN" sz="1200"/>
            <a:t>Date</a:t>
          </a:r>
        </a:p>
        <a:p>
          <a:r>
            <a:rPr lang="en-IN" sz="1200"/>
            <a:t>Location</a:t>
          </a:r>
        </a:p>
        <a:p>
          <a:r>
            <a:rPr lang="en-IN" sz="1200"/>
            <a:t>Accident Type</a:t>
          </a:r>
        </a:p>
        <a:p>
          <a:r>
            <a:rPr lang="en-IN" sz="1200"/>
            <a:t>Vehicle Type</a:t>
          </a:r>
        </a:p>
        <a:p>
          <a:r>
            <a:rPr lang="en-IN" sz="1200"/>
            <a:t>Weather Condition</a:t>
          </a:r>
        </a:p>
        <a:p>
          <a:r>
            <a:rPr lang="en-IN" sz="1200"/>
            <a:t>Road Condition</a:t>
          </a:r>
        </a:p>
        <a:p>
          <a:r>
            <a:rPr lang="en-IN" sz="1200"/>
            <a:t>Severity (Minor / Moderate / Fatal)</a:t>
          </a:r>
        </a:p>
        <a:p>
          <a:r>
            <a:rPr lang="en-IN" sz="1200"/>
            <a:t>Cause</a:t>
          </a:r>
        </a:p>
        <a:p>
          <a:r>
            <a:rPr lang="en-IN" sz="1200"/>
            <a:t>Casualties</a:t>
          </a:r>
        </a:p>
        <a:p>
          <a:br>
            <a:rPr lang="en-IN" sz="1200"/>
          </a:br>
          <a:r>
            <a:rPr lang="en-IN" sz="1200" b="1"/>
            <a:t>Step 1: Prepare the Data</a:t>
          </a:r>
        </a:p>
        <a:p>
          <a:r>
            <a:rPr lang="en-IN" sz="1200"/>
            <a:t>Select the entire dataset</a:t>
          </a:r>
        </a:p>
        <a:p>
          <a:r>
            <a:rPr lang="en-IN" sz="1200"/>
            <a:t>Press </a:t>
          </a:r>
          <a:r>
            <a:rPr lang="en-IN" sz="1200" b="1"/>
            <a:t>Ctrl + T</a:t>
          </a:r>
          <a:r>
            <a:rPr lang="en-IN" sz="1200"/>
            <a:t> → Convert to </a:t>
          </a:r>
          <a:r>
            <a:rPr lang="en-IN" sz="1200" b="1"/>
            <a:t>Excel Table</a:t>
          </a:r>
          <a:endParaRPr lang="en-IN" sz="1200"/>
        </a:p>
        <a:p>
          <a:r>
            <a:rPr lang="en-IN" sz="1200"/>
            <a:t>Name the table: </a:t>
          </a:r>
          <a:r>
            <a:rPr lang="en-IN" sz="1200">
              <a:solidFill>
                <a:schemeClr val="tx1"/>
              </a:solidFill>
              <a:latin typeface="+mn-lt"/>
              <a:ea typeface="+mn-ea"/>
              <a:cs typeface="+mn-cs"/>
            </a:rPr>
            <a:t>Accident_Data</a:t>
          </a:r>
          <a:endParaRPr lang="en-IN" sz="1200"/>
        </a:p>
        <a:p>
          <a:r>
            <a:rPr lang="en-IN" sz="1200"/>
            <a:t>Ensure </a:t>
          </a:r>
          <a:r>
            <a:rPr lang="en-IN" sz="1200" b="1"/>
            <a:t>Date column</a:t>
          </a:r>
          <a:r>
            <a:rPr lang="en-IN" sz="1200"/>
            <a:t> is in proper date format</a:t>
          </a:r>
        </a:p>
        <a:p>
          <a:br>
            <a:rPr lang="en-IN" sz="1200"/>
          </a:br>
          <a:r>
            <a:rPr lang="en-IN" sz="1200" b="1"/>
            <a:t>Step 2: Create Pivot Tables</a:t>
          </a:r>
        </a:p>
        <a:p>
          <a:br>
            <a:rPr lang="en-IN" sz="1200"/>
          </a:br>
          <a:r>
            <a:rPr lang="en-IN" sz="1200" b="1"/>
            <a:t>Pivot Table 1: Accidents by Severity</a:t>
          </a:r>
        </a:p>
        <a:p>
          <a:r>
            <a:rPr lang="en-IN" sz="1200" b="1"/>
            <a:t>Purpose:</a:t>
          </a:r>
          <a:r>
            <a:rPr lang="en-IN" sz="1200"/>
            <a:t> To analyze accident seriousness</a:t>
          </a:r>
        </a:p>
        <a:p>
          <a:r>
            <a:rPr lang="en-IN" sz="1200" b="1"/>
            <a:t>Rows:</a:t>
          </a:r>
          <a:r>
            <a:rPr lang="en-IN" sz="1200"/>
            <a:t> Severity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Shows number of Minor, Moderate, and Fatal accidents.</a:t>
          </a:r>
        </a:p>
        <a:p>
          <a:br>
            <a:rPr lang="en-IN" sz="1200"/>
          </a:br>
          <a:r>
            <a:rPr lang="en-IN" sz="1200" b="1"/>
            <a:t>Pivot Table 2: Accidents by Location</a:t>
          </a:r>
        </a:p>
        <a:p>
          <a:r>
            <a:rPr lang="en-IN" sz="1200" b="1"/>
            <a:t>Purpose:</a:t>
          </a:r>
          <a:r>
            <a:rPr lang="en-IN" sz="1200"/>
            <a:t> Identify accident-prone cities</a:t>
          </a:r>
        </a:p>
        <a:p>
          <a:r>
            <a:rPr lang="en-IN" sz="1200" b="1"/>
            <a:t>Rows:</a:t>
          </a:r>
          <a:r>
            <a:rPr lang="en-IN" sz="1200"/>
            <a:t> Location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Helps identify high-risk locations like Mumbai, Pune, Bangalore, etc.</a:t>
          </a:r>
        </a:p>
        <a:p>
          <a:br>
            <a:rPr lang="en-IN" sz="1200"/>
          </a:br>
          <a:r>
            <a:rPr lang="en-IN" sz="1200" b="1"/>
            <a:t>Pivot Table 3: Accidents by Vehicle Type</a:t>
          </a:r>
        </a:p>
        <a:p>
          <a:r>
            <a:rPr lang="en-IN" sz="1200" b="1"/>
            <a:t>Purpose:</a:t>
          </a:r>
          <a:r>
            <a:rPr lang="en-IN" sz="1200"/>
            <a:t> Analyze which vehicles are most involved</a:t>
          </a:r>
        </a:p>
        <a:p>
          <a:r>
            <a:rPr lang="en-IN" sz="1200" b="1"/>
            <a:t>Rows:</a:t>
          </a:r>
          <a:r>
            <a:rPr lang="en-IN" sz="1200"/>
            <a:t> Vehicle Type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Shows whether accidents are higher for Bikes, Cars, Trucks, Auto-Rickshaws, etc.</a:t>
          </a:r>
        </a:p>
        <a:p>
          <a:br>
            <a:rPr lang="en-IN" sz="1200"/>
          </a:br>
          <a:r>
            <a:rPr lang="en-IN" sz="1200" b="1"/>
            <a:t>Pivot Table 4: Accidents by Weather Condition</a:t>
          </a:r>
        </a:p>
        <a:p>
          <a:r>
            <a:rPr lang="en-IN" sz="1200" b="1"/>
            <a:t>Purpose:</a:t>
          </a:r>
          <a:r>
            <a:rPr lang="en-IN" sz="1200"/>
            <a:t> Understand weather impact</a:t>
          </a:r>
        </a:p>
        <a:p>
          <a:r>
            <a:rPr lang="en-IN" sz="1200" b="1"/>
            <a:t>Rows:</a:t>
          </a:r>
          <a:r>
            <a:rPr lang="en-IN" sz="1200"/>
            <a:t> Weather Condition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Compares accidents during Clear, Foggy, Rainy, Windy weather.</a:t>
          </a:r>
        </a:p>
        <a:p>
          <a:br>
            <a:rPr lang="en-IN" sz="1200"/>
          </a:br>
          <a:r>
            <a:rPr lang="en-IN" sz="1200" b="1"/>
            <a:t>Pivot Table 5: Casualties by Severity</a:t>
          </a:r>
        </a:p>
        <a:p>
          <a:r>
            <a:rPr lang="en-IN" sz="1200" b="1"/>
            <a:t>Purpose:</a:t>
          </a:r>
          <a:r>
            <a:rPr lang="en-IN" sz="1200"/>
            <a:t> Measure accident impact</a:t>
          </a:r>
        </a:p>
        <a:p>
          <a:r>
            <a:rPr lang="en-IN" sz="1200" b="1"/>
            <a:t>Rows:</a:t>
          </a:r>
          <a:r>
            <a:rPr lang="en-IN" sz="1200"/>
            <a:t> Severity</a:t>
          </a:r>
        </a:p>
        <a:p>
          <a:r>
            <a:rPr lang="en-IN" sz="1200" b="1"/>
            <a:t>Values:</a:t>
          </a:r>
          <a:r>
            <a:rPr lang="en-IN" sz="1200"/>
            <a:t> Sum of Casualties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Shows which severity level causes maximum casualties.</a:t>
          </a:r>
        </a:p>
        <a:p>
          <a:br>
            <a:rPr lang="en-IN" sz="1200"/>
          </a:br>
          <a:r>
            <a:rPr lang="en-IN" sz="1200" b="1"/>
            <a:t>Step 3: Create Pivot Charts</a:t>
          </a:r>
        </a:p>
        <a:p>
          <a:r>
            <a:rPr lang="en-IN" sz="1200"/>
            <a:t>Convert each Pivot Table into charts:</a:t>
          </a:r>
        </a:p>
        <a:p>
          <a:r>
            <a:rPr lang="en-IN" sz="1200"/>
            <a:t>Pivot TableChart TypeAccidents by SeverityPie ChartAccidents by LocationColumn ChartVehicle Type AnalysisBar ChartWeather ConditionColumn ChartCasualties by SeverityBar Chart</a:t>
          </a:r>
        </a:p>
        <a:p>
          <a:br>
            <a:rPr lang="en-IN" sz="1200"/>
          </a:br>
          <a:r>
            <a:rPr lang="en-IN" sz="1200" b="1"/>
            <a:t>Step 4: Add Slicers</a:t>
          </a:r>
        </a:p>
        <a:p>
          <a:r>
            <a:rPr lang="en-IN" sz="1200"/>
            <a:t>Insert slicers for interactive analysis:</a:t>
          </a:r>
        </a:p>
        <a:p>
          <a:r>
            <a:rPr lang="en-IN" sz="1200"/>
            <a:t>Location</a:t>
          </a:r>
        </a:p>
        <a:p>
          <a:r>
            <a:rPr lang="en-IN" sz="1200"/>
            <a:t>Severity</a:t>
          </a:r>
        </a:p>
        <a:p>
          <a:r>
            <a:rPr lang="en-IN" sz="1200"/>
            <a:t>Vehicle Type</a:t>
          </a:r>
        </a:p>
        <a:p>
          <a:r>
            <a:rPr lang="en-IN" sz="1200"/>
            <a:t>Weather Condition</a:t>
          </a:r>
        </a:p>
        <a:p>
          <a:r>
            <a:rPr lang="en-IN" sz="1200"/>
            <a:t>Road Condition</a:t>
          </a:r>
        </a:p>
        <a:p>
          <a:r>
            <a:rPr lang="en-IN" sz="1200"/>
            <a:t>Connect slicers to </a:t>
          </a:r>
          <a:r>
            <a:rPr lang="en-IN" sz="1200" b="1"/>
            <a:t>all Pivot Tables</a:t>
          </a:r>
          <a:r>
            <a:rPr lang="en-IN" sz="1200"/>
            <a:t>.</a:t>
          </a:r>
        </a:p>
        <a:p>
          <a:br>
            <a:rPr lang="en-IN" sz="1200"/>
          </a:br>
          <a:r>
            <a:rPr lang="en-IN" sz="1200" b="1"/>
            <a:t>Step 5: Dashboard Layout Design</a:t>
          </a:r>
        </a:p>
        <a:p>
          <a:r>
            <a:rPr lang="en-IN" sz="1200"/>
            <a:t>Create a new sheet named </a:t>
          </a:r>
          <a:r>
            <a:rPr lang="en-IN" sz="1200" b="1"/>
            <a:t>“Road Accident Dashboard”</a:t>
          </a:r>
          <a:endParaRPr lang="en-IN" sz="1200"/>
        </a:p>
        <a:p>
          <a:r>
            <a:rPr lang="en-IN" sz="1200" b="1"/>
            <a:t>Layout Structure</a:t>
          </a:r>
        </a:p>
        <a:p>
          <a:r>
            <a:rPr lang="en-IN" sz="1200" b="1"/>
            <a:t>Top:</a:t>
          </a:r>
          <a:r>
            <a:rPr lang="en-IN" sz="1200"/>
            <a:t> Title</a:t>
          </a:r>
        </a:p>
        <a:p>
          <a:r>
            <a:rPr lang="en-IN" sz="1200" i="1"/>
            <a:t>ROAD ACCIDENT ANALYSIS DASHBOARD</a:t>
          </a:r>
          <a:endParaRPr lang="en-IN" sz="1200"/>
        </a:p>
        <a:p>
          <a:r>
            <a:rPr lang="en-IN" sz="1200" b="1"/>
            <a:t>Left Panel:</a:t>
          </a:r>
          <a:r>
            <a:rPr lang="en-IN" sz="1200"/>
            <a:t> Slicers</a:t>
          </a:r>
        </a:p>
        <a:p>
          <a:r>
            <a:rPr lang="en-IN" sz="1200" b="1"/>
            <a:t>Center:</a:t>
          </a:r>
          <a:r>
            <a:rPr lang="en-IN" sz="1200"/>
            <a:t> Severity &amp; Vehicle charts</a:t>
          </a:r>
        </a:p>
        <a:p>
          <a:r>
            <a:rPr lang="en-IN" sz="1200" b="1"/>
            <a:t>Right Panel:</a:t>
          </a:r>
          <a:r>
            <a:rPr lang="en-IN" sz="1200"/>
            <a:t> Location &amp; Weather charts</a:t>
          </a:r>
        </a:p>
        <a:p>
          <a:r>
            <a:rPr lang="en-IN" sz="1200" b="1"/>
            <a:t>Bottom:</a:t>
          </a:r>
          <a:r>
            <a:rPr lang="en-IN" sz="1200"/>
            <a:t> Casualties analysis</a:t>
          </a:r>
        </a:p>
        <a:p>
          <a:br>
            <a:rPr lang="en-IN" sz="1200"/>
          </a:br>
          <a:r>
            <a:rPr lang="en-IN" sz="1200" b="1"/>
            <a:t>Key Insights from Dashboard</a:t>
          </a:r>
        </a:p>
        <a:p>
          <a:r>
            <a:rPr lang="en-IN" sz="1200"/>
            <a:t>Fatal accidents contribute to </a:t>
          </a:r>
          <a:r>
            <a:rPr lang="en-IN" sz="1200" b="1"/>
            <a:t>maximum casualties</a:t>
          </a:r>
          <a:endParaRPr lang="en-IN" sz="1200"/>
        </a:p>
        <a:p>
          <a:r>
            <a:rPr lang="en-IN" sz="1200"/>
            <a:t>Certain locations show </a:t>
          </a:r>
          <a:r>
            <a:rPr lang="en-IN" sz="1200" b="1"/>
            <a:t>higher accident frequency</a:t>
          </a:r>
          <a:endParaRPr lang="en-IN" sz="1200"/>
        </a:p>
        <a:p>
          <a:r>
            <a:rPr lang="en-IN" sz="1200" b="1"/>
            <a:t>Two-wheelers and Auto-Rickshaws</a:t>
          </a:r>
          <a:r>
            <a:rPr lang="en-IN" sz="1200"/>
            <a:t> show higher involvement</a:t>
          </a:r>
        </a:p>
        <a:p>
          <a:r>
            <a:rPr lang="en-IN" sz="1200"/>
            <a:t>Bad weather and damaged roads increase accident risk</a:t>
          </a:r>
        </a:p>
        <a:p>
          <a:br>
            <a:rPr lang="en-IN" sz="1200"/>
          </a:br>
          <a:r>
            <a:rPr lang="en-IN" sz="1200" b="1"/>
            <a:t>Conclusion (Exam-Perfect)</a:t>
          </a:r>
        </a:p>
        <a:p>
          <a:r>
            <a:rPr lang="en-IN" sz="1200"/>
            <a:t>The Road Accident Analysis Dashboard created using Pivot Tables and Slicers provides an interactive and visual representation of accident trends.</a:t>
          </a:r>
        </a:p>
        <a:p>
          <a:r>
            <a:rPr lang="en-IN" sz="1200"/>
            <a:t> It helps identify high-risk locations, vehicle types, and severity patterns, supporting effective decision-making for road safety improvement.</a:t>
          </a:r>
        </a:p>
        <a:p>
          <a:endParaRPr lang="en-IN" sz="1200"/>
        </a:p>
        <a:p>
          <a:r>
            <a:rPr lang="en-IN" sz="1600" b="1"/>
            <a:t>Question 8 : Create a table of 10 products with stock levels. Use Macros to highlight: ● Low stock (less than 10 units) in red ● Overstock (more than 50 units) in green. </a:t>
          </a:r>
        </a:p>
        <a:p>
          <a:r>
            <a:rPr lang="en-IN" sz="1600"/>
            <a:t>Answer:-</a:t>
          </a:r>
        </a:p>
      </xdr:txBody>
    </xdr:sp>
    <xdr:clientData/>
  </xdr:oneCellAnchor>
  <xdr:oneCellAnchor>
    <xdr:from>
      <xdr:col>0</xdr:col>
      <xdr:colOff>60960</xdr:colOff>
      <xdr:row>139</xdr:row>
      <xdr:rowOff>83820</xdr:rowOff>
    </xdr:from>
    <xdr:ext cx="14919960" cy="660654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00DC6E5-0861-D200-1E34-DC908F6D32F8}"/>
            </a:ext>
          </a:extLst>
        </xdr:cNvPr>
        <xdr:cNvSpPr txBox="1"/>
      </xdr:nvSpPr>
      <xdr:spPr>
        <a:xfrm>
          <a:off x="60960" y="72870060"/>
          <a:ext cx="14919960" cy="66065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 b="1"/>
            <a:t>Question 9 : You are given a dataset : Create a drop-down list of product names in a separate cell using Data Validation, and write a formula in the adjacent cell so that when a product is selected from the drop-down, </a:t>
          </a:r>
        </a:p>
        <a:p>
          <a:r>
            <a:rPr lang="en-IN" sz="1600" b="1"/>
            <a:t>its corresponding price is automatically displayed</a:t>
          </a:r>
          <a:r>
            <a:rPr lang="en-IN" sz="1200"/>
            <a:t>. </a:t>
          </a:r>
        </a:p>
        <a:p>
          <a:endParaRPr lang="en-IN" sz="1200"/>
        </a:p>
        <a:p>
          <a:r>
            <a:rPr lang="en-IN" sz="1600"/>
            <a:t>Answer</a:t>
          </a:r>
          <a:r>
            <a:rPr lang="en-IN" sz="1200"/>
            <a:t>:-</a:t>
          </a:r>
          <a:r>
            <a:rPr lang="en-IN" sz="1200" b="1"/>
            <a:t>METHOD 1 (BEST &amp; SIMPLE): XLOOKUP</a:t>
          </a:r>
        </a:p>
        <a:p>
          <a:r>
            <a:rPr lang="en-IN" sz="1200"/>
            <a:t>Paste this formula in </a:t>
          </a:r>
          <a:r>
            <a:rPr lang="en-IN" sz="1200" b="1"/>
            <a:t>N2</a:t>
          </a:r>
          <a:r>
            <a:rPr lang="en-IN" sz="1200"/>
            <a:t>:</a:t>
          </a:r>
        </a:p>
        <a:p>
          <a:pPr rtl="0"/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=XLOOKUP(M2, $F$2:$F$101, $H$2:$H$101)</a:t>
          </a:r>
        </a:p>
        <a:p>
          <a:r>
            <a:rPr lang="en-IN" sz="1200" b="1"/>
            <a:t>How this works:</a:t>
          </a:r>
        </a:p>
        <a:p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M2</a:t>
          </a:r>
          <a:r>
            <a:rPr lang="en-IN" sz="1200"/>
            <a:t> → Selected product from dropdown</a:t>
          </a:r>
        </a:p>
        <a:p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$F$2:$F$101</a:t>
          </a:r>
          <a:r>
            <a:rPr lang="en-IN" sz="1200"/>
            <a:t> → Product Name column</a:t>
          </a:r>
        </a:p>
        <a:p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$H$2:$H$101</a:t>
          </a:r>
          <a:r>
            <a:rPr lang="en-IN" sz="1200"/>
            <a:t> → Unit Price column</a:t>
          </a:r>
        </a:p>
        <a:p>
          <a:r>
            <a:rPr lang="en-IN" sz="1200"/>
            <a:t> As soon as you select a product, </a:t>
          </a:r>
          <a:r>
            <a:rPr lang="en-IN" sz="1200" b="1"/>
            <a:t>price appears automatically</a:t>
          </a:r>
          <a:endParaRPr lang="en-IN" sz="1200"/>
        </a:p>
        <a:p>
          <a:br>
            <a:rPr lang="en-IN" sz="1200"/>
          </a:br>
          <a:endParaRPr lang="en-IN" sz="1200"/>
        </a:p>
        <a:p>
          <a:r>
            <a:rPr lang="en-IN" sz="1200" b="1"/>
            <a:t> METHOD 2 (EXAM-FRIENDLY): VLOOKUP</a:t>
          </a:r>
        </a:p>
        <a:p>
          <a:r>
            <a:rPr lang="en-IN" sz="1200"/>
            <a:t>If XLOOKUP is not available, use this:</a:t>
          </a:r>
        </a:p>
        <a:p>
          <a:pPr rtl="0"/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=VLOOKUP(M2, $F$2:$H$101, 3, FALSE)</a:t>
          </a:r>
        </a:p>
        <a:p>
          <a:r>
            <a:rPr lang="en-IN" sz="1200" b="1"/>
            <a:t> Explanation:</a:t>
          </a:r>
        </a:p>
        <a:p>
          <a:r>
            <a:rPr lang="en-IN" sz="1200"/>
            <a:t>Product Name is in column </a:t>
          </a:r>
          <a:r>
            <a:rPr lang="en-IN" sz="1200" b="1"/>
            <a:t>F</a:t>
          </a:r>
          <a:endParaRPr lang="en-IN" sz="1200"/>
        </a:p>
        <a:p>
          <a:r>
            <a:rPr lang="en-IN" sz="1200"/>
            <a:t>Unit Price is </a:t>
          </a:r>
          <a:r>
            <a:rPr lang="en-IN" sz="1200" b="1"/>
            <a:t>3rd column</a:t>
          </a:r>
          <a:r>
            <a:rPr lang="en-IN" sz="1200"/>
            <a:t> in range F:H</a:t>
          </a:r>
        </a:p>
        <a:p>
          <a:endParaRPr lang="en-IN" sz="1400"/>
        </a:p>
        <a:p>
          <a:r>
            <a:rPr lang="en-IN" sz="1600" b="1"/>
            <a:t>Question 10 : </a:t>
          </a:r>
          <a:r>
            <a:rPr lang="en-IN" sz="1400"/>
            <a:t>Case Scenario :-  You are a data analyst working for a retail firm. You’ve received a sales dataset that includes customer transactions from various regions and product categories.</a:t>
          </a:r>
        </a:p>
        <a:p>
          <a:r>
            <a:rPr lang="en-IN" sz="1400"/>
            <a:t> Your job is to analyze this data, clean inconsistencies, extract insights, and build visual reports. </a:t>
          </a:r>
        </a:p>
        <a:p>
          <a:r>
            <a:rPr lang="en-IN" sz="1400"/>
            <a:t>Task : 1. Apply data validation in the Units Sold column to ensure only values between 1 and 20 are allowed. 2. Highlight rows where Profit &gt; ₹5000 3. Highlight any phone number that is not exactly 10 digits 4. </a:t>
          </a:r>
        </a:p>
        <a:p>
          <a:r>
            <a:rPr lang="en-IN" sz="1400"/>
            <a:t>Find the Revenue generated by each product and also label according to revenue generated as “High”, “Medium”, “Low”. 5. Find the profit percentage up to two decimal places.</a:t>
          </a:r>
        </a:p>
        <a:p>
          <a:r>
            <a:rPr lang="en-IN" sz="1400"/>
            <a:t> 6. Show Total Revenue and Total Profit by Region. 7. Show Average Units Sold per Product Category. </a:t>
          </a:r>
        </a:p>
        <a:p>
          <a:r>
            <a:rPr lang="en-IN" sz="1200"/>
            <a:t>Answer:-</a:t>
          </a:r>
          <a:r>
            <a:rPr lang="en-IN" sz="1200" b="1"/>
            <a:t>Phone number issues</a:t>
          </a:r>
          <a:r>
            <a:rPr lang="en-IN" sz="1200"/>
            <a:t>: </a:t>
          </a:r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95543976868</a:t>
          </a:r>
          <a:r>
            <a:rPr lang="en-IN" sz="1200"/>
            <a:t> → 11 digits, flagged correctly.</a:t>
          </a:r>
        </a:p>
        <a:p>
          <a:r>
            <a:rPr lang="en-IN" sz="1200" b="1"/>
            <a:t>High Profit rows</a:t>
          </a:r>
          <a:r>
            <a:rPr lang="en-IN" sz="1200"/>
            <a:t> (I &gt; 5000) → </a:t>
          </a:r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CUST1004</a:t>
          </a:r>
          <a:r>
            <a:rPr lang="en-IN" sz="1200"/>
            <a:t>, </a:t>
          </a:r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CUST1009</a:t>
          </a:r>
          <a:r>
            <a:rPr lang="en-IN" sz="1200"/>
            <a:t> highlighted automatically.</a:t>
          </a:r>
        </a:p>
        <a:p>
          <a:r>
            <a:rPr lang="en-IN" sz="1200" b="1"/>
            <a:t>Revenue labels</a:t>
          </a:r>
          <a:r>
            <a:rPr lang="en-IN" sz="1200"/>
            <a:t> can be adjusted depending on your business logic.</a:t>
          </a:r>
        </a:p>
        <a:p>
          <a:endParaRPr lang="en-IN" sz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0</xdr:row>
      <xdr:rowOff>129540</xdr:rowOff>
    </xdr:from>
    <xdr:to>
      <xdr:col>27</xdr:col>
      <xdr:colOff>899160</xdr:colOff>
      <xdr:row>26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77EAA-7F95-F88C-FA32-71CE2532B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ingh Rajput" refreshedDate="46029.624971180558" createdVersion="8" refreshedVersion="8" minRefreshableVersion="3" recordCount="100" xr:uid="{3B8F4282-F2A7-4CC8-A58A-DD62C5BE6DBD}">
  <cacheSource type="worksheet">
    <worksheetSource name="Table1"/>
  </cacheSource>
  <cacheFields count="10">
    <cacheField name="Accident ID" numFmtId="0">
      <sharedItems/>
    </cacheField>
    <cacheField name="Date" numFmtId="14">
      <sharedItems containsSemiMixedTypes="0" containsNonDate="0" containsDate="1" containsString="0" minDate="2024-01-01T00:00:00" maxDate="2024-06-27T00:00:00"/>
    </cacheField>
    <cacheField name="Location" numFmtId="0">
      <sharedItems count="8">
        <s v="Hyderabad"/>
        <s v="Mumbai"/>
        <s v="Pune"/>
        <s v="Bangalore"/>
        <s v="Delhi"/>
        <s v="Ahmedabad"/>
        <s v="Chennai"/>
        <s v="Kolkata"/>
      </sharedItems>
    </cacheField>
    <cacheField name="Accident Type" numFmtId="0">
      <sharedItems count="5">
        <s v="Overturn"/>
        <s v="Collision"/>
        <s v="Animal Hit"/>
        <s v="Object Hit"/>
        <s v="Pedestrian Hit"/>
      </sharedItems>
    </cacheField>
    <cacheField name="Vehicle Type" numFmtId="0">
      <sharedItems/>
    </cacheField>
    <cacheField name="Weather Condition" numFmtId="0">
      <sharedItems count="4">
        <s v="Clear"/>
        <s v="Foggy"/>
        <s v="Windy"/>
        <s v="Rainy"/>
      </sharedItems>
    </cacheField>
    <cacheField name="Road Condition" numFmtId="0">
      <sharedItems/>
    </cacheField>
    <cacheField name="Severity" numFmtId="0">
      <sharedItems count="4">
        <s v="Moderate"/>
        <s v="Fatal"/>
        <s v="Minor"/>
        <s v="Severe"/>
      </sharedItems>
    </cacheField>
    <cacheField name="Cause" numFmtId="0">
      <sharedItems/>
    </cacheField>
    <cacheField name="Casualties" numFmtId="0">
      <sharedItems containsSemiMixedTypes="0" containsString="0" containsNumber="1" containsInteger="1" minValue="0" maxValue="5" count="6">
        <n v="0"/>
        <n v="3"/>
        <n v="4"/>
        <n v="2"/>
        <n v="5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ingh Rajput" refreshedDate="46029.675625347219" createdVersion="8" refreshedVersion="8" minRefreshableVersion="3" recordCount="49" xr:uid="{F9C2C587-0F24-4550-953B-4C393891E65F}">
  <cacheSource type="worksheet">
    <worksheetSource name="Table2"/>
  </cacheSource>
  <cacheFields count="14">
    <cacheField name="Order ID" numFmtId="0">
      <sharedItems containsSemiMixedTypes="0" containsString="0" containsNumber="1" containsInteger="1" minValue="1001" maxValue="10050"/>
    </cacheField>
    <cacheField name="Date" numFmtId="14">
      <sharedItems containsSemiMixedTypes="0" containsNonDate="0" containsDate="1" containsString="0" minDate="2025-01-01T00:00:00" maxDate="2025-02-20T00:00:00" count="49">
        <d v="2025-01-01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</sharedItems>
      <fieldGroup par="13"/>
    </cacheField>
    <cacheField name="Customer Name" numFmtId="0">
      <sharedItems/>
    </cacheField>
    <cacheField name="Region" numFmtId="0">
      <sharedItems/>
    </cacheField>
    <cacheField name="Product Category" numFmtId="0">
      <sharedItems/>
    </cacheField>
    <cacheField name="Product Name" numFmtId="0">
      <sharedItems/>
    </cacheField>
    <cacheField name="Quantity" numFmtId="0">
      <sharedItems containsSemiMixedTypes="0" containsString="0" containsNumber="1" containsInteger="1" minValue="1" maxValue="10"/>
    </cacheField>
    <cacheField name="Unit Price (?)" numFmtId="0">
      <sharedItems containsSemiMixedTypes="0" containsString="0" containsNumber="1" containsInteger="1" minValue="999" maxValue="2999"/>
    </cacheField>
    <cacheField name="Total Sales (?)" numFmtId="0">
      <sharedItems containsSemiMixedTypes="0" containsString="0" containsNumber="1" containsInteger="1" minValue="999" maxValue="26991"/>
    </cacheField>
    <cacheField name="Profit Margin (%)" numFmtId="0">
      <sharedItems containsSemiMixedTypes="0" containsString="0" containsNumber="1" containsInteger="1" minValue="15" maxValue="998001"/>
    </cacheField>
    <cacheField name="Customer Age" numFmtId="0">
      <sharedItems containsSemiMixedTypes="0" containsString="0" containsNumber="1" containsInteger="1" minValue="24" maxValue="45"/>
    </cacheField>
    <cacheField name="Payment Mode" numFmtId="0">
      <sharedItems/>
    </cacheField>
    <cacheField name="Days (Date)" numFmtId="0" databaseField="0">
      <fieldGroup base="1">
        <rangePr groupBy="days" startDate="2025-01-01T00:00:00" endDate="2025-02-20T00:00:00"/>
        <groupItems count="368">
          <s v="&lt;01-01-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-02-2025"/>
        </groupItems>
      </fieldGroup>
    </cacheField>
    <cacheField name="Months (Date)" numFmtId="0" databaseField="0">
      <fieldGroup base="1">
        <rangePr groupBy="months" startDate="2025-01-01T00:00:00" endDate="2025-02-20T00:00:00"/>
        <groupItems count="14">
          <s v="&lt;01-01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-02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ingh Rajput" refreshedDate="46029.722184027778" createdVersion="8" refreshedVersion="8" minRefreshableVersion="3" recordCount="100" xr:uid="{556B1280-5E7B-4F93-B3AA-646F788408BF}">
  <cacheSource type="worksheet">
    <worksheetSource ref="A1:P101" sheet="SALES DEPT DATA"/>
  </cacheSource>
  <cacheFields count="16">
    <cacheField name="Customer ID" numFmtId="0">
      <sharedItems/>
    </cacheField>
    <cacheField name="Region" numFmtId="0">
      <sharedItems/>
    </cacheField>
    <cacheField name="Country" numFmtId="0">
      <sharedItems/>
    </cacheField>
    <cacheField name="State" numFmtId="0">
      <sharedItems/>
    </cacheField>
    <cacheField name="Phone Number" numFmtId="0">
      <sharedItems containsSemiMixedTypes="0" containsString="0" containsNumber="1" containsInteger="1" minValue="85" maxValue="99831923457"/>
    </cacheField>
    <cacheField name="Category" numFmtId="0">
      <sharedItems count="3">
        <s v="Clothing"/>
        <s v="Furniture"/>
        <s v="Electronics"/>
      </sharedItems>
    </cacheField>
    <cacheField name="Product" numFmtId="0">
      <sharedItems/>
    </cacheField>
    <cacheField name="Price" numFmtId="0">
      <sharedItems containsSemiMixedTypes="0" containsString="0" containsNumber="1" minValue="238.37" maxValue="2896.96"/>
    </cacheField>
    <cacheField name="Units Sold" numFmtId="0">
      <sharedItems containsSemiMixedTypes="0" containsString="0" containsNumber="1" containsInteger="1" minValue="1" maxValue="15"/>
    </cacheField>
    <cacheField name="Profit" numFmtId="0">
      <sharedItems containsString="0" containsBlank="1" containsNumber="1" minValue="163.57" maxValue="11123.31"/>
    </cacheField>
    <cacheField name="Mode of Payment" numFmtId="0">
      <sharedItems/>
    </cacheField>
    <cacheField name="1" numFmtId="0">
      <sharedItems/>
    </cacheField>
    <cacheField name="Revenue" numFmtId="0">
      <sharedItems containsSemiMixedTypes="0" containsString="0" containsNumber="1" minValue="1248.54" maxValue="42729.15" count="100">
        <n v="12199.05"/>
        <n v="21078.59"/>
        <n v="1363.73"/>
        <n v="5864.65"/>
        <n v="31948.28"/>
        <n v="18630.080000000002"/>
        <n v="8404.92"/>
        <n v="1248.54"/>
        <n v="7742.82"/>
        <n v="37799.1"/>
        <n v="2814.97"/>
        <n v="10942.36"/>
        <n v="2338.56"/>
        <n v="6960.09"/>
        <n v="19587.259999999998"/>
        <n v="40080"/>
        <n v="7420.41"/>
        <n v="20278.72"/>
        <n v="11117.88"/>
        <n v="6504.99"/>
        <n v="13272.7"/>
        <n v="9196.39"/>
        <n v="20829.12"/>
        <n v="2369.3200000000002"/>
        <n v="4713.12"/>
        <n v="9418.4"/>
        <n v="11523.3"/>
        <n v="7604.87"/>
        <n v="15353.91"/>
        <n v="20169.599999999999"/>
        <n v="26125.65"/>
        <n v="15220.62"/>
        <n v="2430.4899999999998"/>
        <n v="19375"/>
        <n v="42729.15"/>
        <n v="8055.15"/>
        <n v="2052.79"/>
        <n v="5124.3"/>
        <n v="22631.7"/>
        <n v="12422.34"/>
        <n v="7729.68"/>
        <n v="22977.11"/>
        <n v="27572.6"/>
        <n v="1455.74"/>
        <n v="10037.56"/>
        <n v="1271.3499999999999"/>
        <n v="12146.53"/>
        <n v="2584.59"/>
        <n v="3763.04"/>
        <n v="16560.5"/>
        <n v="16252.39"/>
        <n v="1409.28"/>
        <n v="26392.6"/>
        <n v="7289.12"/>
        <n v="6601.98"/>
        <n v="16312.52"/>
        <n v="14100.71"/>
        <n v="22722.6"/>
        <n v="10483.32"/>
        <n v="2298.48"/>
        <n v="3400.1"/>
        <n v="8262.17"/>
        <n v="2613.4"/>
        <n v="7526.96"/>
        <n v="18095.25"/>
        <n v="9249.75"/>
        <n v="9480.5"/>
        <n v="10797.6"/>
        <n v="2660.52"/>
        <n v="4193.41"/>
        <n v="1510.41"/>
        <n v="4342.08"/>
        <n v="20185.060000000001"/>
        <n v="5493.12"/>
        <n v="16983.84"/>
        <n v="15714.48"/>
        <n v="5543.23"/>
        <n v="5612.52"/>
        <n v="32302.76"/>
        <n v="21189.98"/>
        <n v="6640.35"/>
        <n v="1921.05"/>
        <n v="3488.87"/>
        <n v="15992.4"/>
        <n v="8658.6299999999992"/>
        <n v="11712.54"/>
        <n v="3164.96"/>
        <n v="3632.58"/>
        <n v="4336.99"/>
        <n v="4627.5"/>
        <n v="9266.85"/>
        <n v="15008.88"/>
        <n v="12980.65"/>
        <n v="13257.12"/>
        <n v="3210.9"/>
        <n v="9997.92"/>
        <n v="3098.81"/>
        <n v="2460.15"/>
        <n v="21730.639999999999"/>
        <n v="1918.81"/>
      </sharedItems>
    </cacheField>
    <cacheField name="Revenue Label" numFmtId="0">
      <sharedItems/>
    </cacheField>
    <cacheField name="Profit %" numFmtId="0">
      <sharedItems containsSemiMixedTypes="0" containsString="0" containsNumber="1" minValue="10.26" maxValue="29.98"/>
    </cacheField>
    <cacheField name="profit % formula" numFmtId="0">
      <sharedItems containsSemiMixedTypes="0" containsString="0" containsNumber="1" minValue="0" maxValue="2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s v="AID0001"/>
    <d v="2024-01-01T00:00:00"/>
    <x v="0"/>
    <x v="0"/>
    <s v="Auto-Rickshaw"/>
    <x v="0"/>
    <s v="Dry"/>
    <x v="0"/>
    <s v="Overtaking"/>
    <x v="0"/>
  </r>
  <r>
    <s v="AID0002"/>
    <d v="2024-03-29T00:00:00"/>
    <x v="1"/>
    <x v="0"/>
    <s v="Auto-Rickshaw"/>
    <x v="1"/>
    <s v="Damaged"/>
    <x v="0"/>
    <s v="Distracted Driving"/>
    <x v="0"/>
  </r>
  <r>
    <s v="AID0003"/>
    <d v="2024-01-05T00:00:00"/>
    <x v="1"/>
    <x v="0"/>
    <s v="Bicycle"/>
    <x v="2"/>
    <s v="Under Construction"/>
    <x v="1"/>
    <s v="Overtaking"/>
    <x v="1"/>
  </r>
  <r>
    <s v="AID0004"/>
    <d v="2024-06-02T00:00:00"/>
    <x v="2"/>
    <x v="1"/>
    <s v="Truck"/>
    <x v="0"/>
    <s v="Dry"/>
    <x v="1"/>
    <s v="Brake Failure"/>
    <x v="2"/>
  </r>
  <r>
    <s v="AID0005"/>
    <d v="2024-02-28T00:00:00"/>
    <x v="3"/>
    <x v="2"/>
    <s v="Auto-Rickshaw"/>
    <x v="0"/>
    <s v="Damaged"/>
    <x v="0"/>
    <s v="Weather"/>
    <x v="0"/>
  </r>
  <r>
    <s v="AID0006"/>
    <d v="2024-04-17T00:00:00"/>
    <x v="3"/>
    <x v="2"/>
    <s v="Car"/>
    <x v="3"/>
    <s v="Damaged"/>
    <x v="2"/>
    <s v="Drunk Driving"/>
    <x v="2"/>
  </r>
  <r>
    <s v="AID0007"/>
    <d v="2024-02-16T00:00:00"/>
    <x v="4"/>
    <x v="2"/>
    <s v="Car"/>
    <x v="3"/>
    <s v="Dry"/>
    <x v="2"/>
    <s v="Speeding"/>
    <x v="3"/>
  </r>
  <r>
    <s v="AID0008"/>
    <d v="2024-03-18T00:00:00"/>
    <x v="0"/>
    <x v="0"/>
    <s v="Car"/>
    <x v="1"/>
    <s v="Wet"/>
    <x v="0"/>
    <s v="Speeding"/>
    <x v="4"/>
  </r>
  <r>
    <s v="AID0009"/>
    <d v="2024-05-13T00:00:00"/>
    <x v="1"/>
    <x v="1"/>
    <s v="Car"/>
    <x v="2"/>
    <s v="Under Construction"/>
    <x v="2"/>
    <s v="Weather"/>
    <x v="3"/>
  </r>
  <r>
    <s v="AID0010"/>
    <d v="2024-01-16T00:00:00"/>
    <x v="5"/>
    <x v="1"/>
    <s v="Motorcycle"/>
    <x v="0"/>
    <s v="Under Construction"/>
    <x v="3"/>
    <s v="Speeding"/>
    <x v="4"/>
  </r>
  <r>
    <s v="AID0011"/>
    <d v="2024-01-08T00:00:00"/>
    <x v="2"/>
    <x v="3"/>
    <s v="Auto-Rickshaw"/>
    <x v="0"/>
    <s v="Damaged"/>
    <x v="1"/>
    <s v="Overtaking"/>
    <x v="0"/>
  </r>
  <r>
    <s v="AID0012"/>
    <d v="2024-06-25T00:00:00"/>
    <x v="5"/>
    <x v="4"/>
    <s v="Car"/>
    <x v="0"/>
    <s v="Under Construction"/>
    <x v="3"/>
    <s v="Overtaking"/>
    <x v="1"/>
  </r>
  <r>
    <s v="AID0013"/>
    <d v="2024-03-29T00:00:00"/>
    <x v="3"/>
    <x v="4"/>
    <s v="Bicycle"/>
    <x v="3"/>
    <s v="Wet"/>
    <x v="3"/>
    <s v="Speeding"/>
    <x v="5"/>
  </r>
  <r>
    <s v="AID0014"/>
    <d v="2024-04-02T00:00:00"/>
    <x v="6"/>
    <x v="0"/>
    <s v="Bus"/>
    <x v="1"/>
    <s v="Dry"/>
    <x v="3"/>
    <s v="Drunk Driving"/>
    <x v="3"/>
  </r>
  <r>
    <s v="AID0015"/>
    <d v="2024-03-27T00:00:00"/>
    <x v="6"/>
    <x v="4"/>
    <s v="Motorcycle"/>
    <x v="1"/>
    <s v="Under Construction"/>
    <x v="0"/>
    <s v="Brake Failure"/>
    <x v="5"/>
  </r>
  <r>
    <s v="AID0016"/>
    <d v="2024-05-19T00:00:00"/>
    <x v="6"/>
    <x v="0"/>
    <s v="Truck"/>
    <x v="1"/>
    <s v="Damaged"/>
    <x v="3"/>
    <s v="Distracted Driving"/>
    <x v="4"/>
  </r>
  <r>
    <s v="AID0017"/>
    <d v="2024-03-03T00:00:00"/>
    <x v="0"/>
    <x v="1"/>
    <s v="Motorcycle"/>
    <x v="2"/>
    <s v="Under Construction"/>
    <x v="0"/>
    <s v="Distracted Driving"/>
    <x v="2"/>
  </r>
  <r>
    <s v="AID0018"/>
    <d v="2024-03-08T00:00:00"/>
    <x v="7"/>
    <x v="0"/>
    <s v="Car"/>
    <x v="2"/>
    <s v="Under Construction"/>
    <x v="0"/>
    <s v="Brake Failure"/>
    <x v="1"/>
  </r>
  <r>
    <s v="AID0019"/>
    <d v="2024-06-26T00:00:00"/>
    <x v="4"/>
    <x v="0"/>
    <s v="Motorcycle"/>
    <x v="3"/>
    <s v="Wet"/>
    <x v="3"/>
    <s v="Drunk Driving"/>
    <x v="2"/>
  </r>
  <r>
    <s v="AID0020"/>
    <d v="2024-01-26T00:00:00"/>
    <x v="4"/>
    <x v="1"/>
    <s v="Bicycle"/>
    <x v="3"/>
    <s v="Damaged"/>
    <x v="0"/>
    <s v="Brake Failure"/>
    <x v="4"/>
  </r>
  <r>
    <s v="AID0021"/>
    <d v="2024-02-05T00:00:00"/>
    <x v="2"/>
    <x v="2"/>
    <s v="Motorcycle"/>
    <x v="2"/>
    <s v="Damaged"/>
    <x v="2"/>
    <s v="Distracted Driving"/>
    <x v="4"/>
  </r>
  <r>
    <s v="AID0022"/>
    <d v="2024-06-07T00:00:00"/>
    <x v="0"/>
    <x v="3"/>
    <s v="Truck"/>
    <x v="1"/>
    <s v="Under Construction"/>
    <x v="1"/>
    <s v="Weather"/>
    <x v="2"/>
  </r>
  <r>
    <s v="AID0023"/>
    <d v="2024-03-27T00:00:00"/>
    <x v="6"/>
    <x v="1"/>
    <s v="Bicycle"/>
    <x v="3"/>
    <s v="Under Construction"/>
    <x v="3"/>
    <s v="Weather"/>
    <x v="2"/>
  </r>
  <r>
    <s v="AID0024"/>
    <d v="2024-02-24T00:00:00"/>
    <x v="1"/>
    <x v="3"/>
    <s v="Truck"/>
    <x v="3"/>
    <s v="Dry"/>
    <x v="0"/>
    <s v="Overtaking"/>
    <x v="0"/>
  </r>
  <r>
    <s v="AID0025"/>
    <d v="2024-06-04T00:00:00"/>
    <x v="4"/>
    <x v="2"/>
    <s v="Motorcycle"/>
    <x v="3"/>
    <s v="Damaged"/>
    <x v="1"/>
    <s v="Drunk Driving"/>
    <x v="5"/>
  </r>
  <r>
    <s v="AID0026"/>
    <d v="2024-05-30T00:00:00"/>
    <x v="2"/>
    <x v="1"/>
    <s v="Bus"/>
    <x v="0"/>
    <s v="Damaged"/>
    <x v="0"/>
    <s v="Weather"/>
    <x v="0"/>
  </r>
  <r>
    <s v="AID0027"/>
    <d v="2024-04-04T00:00:00"/>
    <x v="0"/>
    <x v="4"/>
    <s v="Car"/>
    <x v="2"/>
    <s v="Wet"/>
    <x v="1"/>
    <s v="Overtaking"/>
    <x v="0"/>
  </r>
  <r>
    <s v="AID0028"/>
    <d v="2024-05-10T00:00:00"/>
    <x v="0"/>
    <x v="0"/>
    <s v="Bicycle"/>
    <x v="1"/>
    <s v="Dry"/>
    <x v="3"/>
    <s v="Brake Failure"/>
    <x v="2"/>
  </r>
  <r>
    <s v="AID0029"/>
    <d v="2024-03-02T00:00:00"/>
    <x v="6"/>
    <x v="2"/>
    <s v="Auto-Rickshaw"/>
    <x v="3"/>
    <s v="Damaged"/>
    <x v="3"/>
    <s v="Weather"/>
    <x v="2"/>
  </r>
  <r>
    <s v="AID0030"/>
    <d v="2024-04-16T00:00:00"/>
    <x v="2"/>
    <x v="4"/>
    <s v="Car"/>
    <x v="1"/>
    <s v="Under Construction"/>
    <x v="3"/>
    <s v="Distracted Driving"/>
    <x v="0"/>
  </r>
  <r>
    <s v="AID0031"/>
    <d v="2024-06-09T00:00:00"/>
    <x v="7"/>
    <x v="3"/>
    <s v="Motorcycle"/>
    <x v="3"/>
    <s v="Wet"/>
    <x v="3"/>
    <s v="Overtaking"/>
    <x v="4"/>
  </r>
  <r>
    <s v="AID0032"/>
    <d v="2024-02-25T00:00:00"/>
    <x v="6"/>
    <x v="4"/>
    <s v="Auto-Rickshaw"/>
    <x v="3"/>
    <s v="Damaged"/>
    <x v="1"/>
    <s v="Drunk Driving"/>
    <x v="3"/>
  </r>
  <r>
    <s v="AID0033"/>
    <d v="2024-06-24T00:00:00"/>
    <x v="2"/>
    <x v="3"/>
    <s v="Auto-Rickshaw"/>
    <x v="2"/>
    <s v="Damaged"/>
    <x v="1"/>
    <s v="Distracted Driving"/>
    <x v="5"/>
  </r>
  <r>
    <s v="AID0034"/>
    <d v="2024-04-21T00:00:00"/>
    <x v="7"/>
    <x v="2"/>
    <s v="Bicycle"/>
    <x v="0"/>
    <s v="Under Construction"/>
    <x v="2"/>
    <s v="Drunk Driving"/>
    <x v="5"/>
  </r>
  <r>
    <s v="AID0035"/>
    <d v="2024-01-02T00:00:00"/>
    <x v="1"/>
    <x v="0"/>
    <s v="Truck"/>
    <x v="0"/>
    <s v="Wet"/>
    <x v="3"/>
    <s v="Speeding"/>
    <x v="1"/>
  </r>
  <r>
    <s v="AID0036"/>
    <d v="2024-05-24T00:00:00"/>
    <x v="7"/>
    <x v="2"/>
    <s v="Auto-Rickshaw"/>
    <x v="0"/>
    <s v="Wet"/>
    <x v="0"/>
    <s v="Distracted Driving"/>
    <x v="2"/>
  </r>
  <r>
    <s v="AID0037"/>
    <d v="2024-01-26T00:00:00"/>
    <x v="5"/>
    <x v="3"/>
    <s v="Motorcycle"/>
    <x v="0"/>
    <s v="Under Construction"/>
    <x v="2"/>
    <s v="Overtaking"/>
    <x v="4"/>
  </r>
  <r>
    <s v="AID0038"/>
    <d v="2024-01-23T00:00:00"/>
    <x v="3"/>
    <x v="0"/>
    <s v="Auto-Rickshaw"/>
    <x v="2"/>
    <s v="Under Construction"/>
    <x v="3"/>
    <s v="Speeding"/>
    <x v="0"/>
  </r>
  <r>
    <s v="AID0039"/>
    <d v="2024-04-26T00:00:00"/>
    <x v="2"/>
    <x v="2"/>
    <s v="Car"/>
    <x v="1"/>
    <s v="Under Construction"/>
    <x v="1"/>
    <s v="Speeding"/>
    <x v="3"/>
  </r>
  <r>
    <s v="AID0040"/>
    <d v="2024-03-14T00:00:00"/>
    <x v="0"/>
    <x v="0"/>
    <s v="Auto-Rickshaw"/>
    <x v="3"/>
    <s v="Damaged"/>
    <x v="1"/>
    <s v="Weather"/>
    <x v="5"/>
  </r>
  <r>
    <s v="AID0041"/>
    <d v="2024-01-10T00:00:00"/>
    <x v="0"/>
    <x v="2"/>
    <s v="Auto-Rickshaw"/>
    <x v="0"/>
    <s v="Wet"/>
    <x v="2"/>
    <s v="Brake Failure"/>
    <x v="2"/>
  </r>
  <r>
    <s v="AID0042"/>
    <d v="2024-04-28T00:00:00"/>
    <x v="1"/>
    <x v="1"/>
    <s v="Car"/>
    <x v="1"/>
    <s v="Under Construction"/>
    <x v="2"/>
    <s v="Speeding"/>
    <x v="3"/>
  </r>
  <r>
    <s v="AID0043"/>
    <d v="2024-01-23T00:00:00"/>
    <x v="3"/>
    <x v="0"/>
    <s v="Bicycle"/>
    <x v="2"/>
    <s v="Under Construction"/>
    <x v="2"/>
    <s v="Brake Failure"/>
    <x v="3"/>
  </r>
  <r>
    <s v="AID0044"/>
    <d v="2024-03-19T00:00:00"/>
    <x v="0"/>
    <x v="2"/>
    <s v="Car"/>
    <x v="2"/>
    <s v="Wet"/>
    <x v="1"/>
    <s v="Weather"/>
    <x v="2"/>
  </r>
  <r>
    <s v="AID0045"/>
    <d v="2024-03-20T00:00:00"/>
    <x v="0"/>
    <x v="0"/>
    <s v="Bus"/>
    <x v="0"/>
    <s v="Wet"/>
    <x v="3"/>
    <s v="Brake Failure"/>
    <x v="1"/>
  </r>
  <r>
    <s v="AID0046"/>
    <d v="2024-05-05T00:00:00"/>
    <x v="1"/>
    <x v="2"/>
    <s v="Motorcycle"/>
    <x v="3"/>
    <s v="Dry"/>
    <x v="2"/>
    <s v="Speeding"/>
    <x v="0"/>
  </r>
  <r>
    <s v="AID0047"/>
    <d v="2024-04-20T00:00:00"/>
    <x v="0"/>
    <x v="0"/>
    <s v="Car"/>
    <x v="1"/>
    <s v="Dry"/>
    <x v="3"/>
    <s v="Overtaking"/>
    <x v="5"/>
  </r>
  <r>
    <s v="AID0048"/>
    <d v="2024-06-23T00:00:00"/>
    <x v="6"/>
    <x v="2"/>
    <s v="Motorcycle"/>
    <x v="3"/>
    <s v="Wet"/>
    <x v="1"/>
    <s v="Drunk Driving"/>
    <x v="0"/>
  </r>
  <r>
    <s v="AID0049"/>
    <d v="2024-03-18T00:00:00"/>
    <x v="7"/>
    <x v="1"/>
    <s v="Motorcycle"/>
    <x v="0"/>
    <s v="Dry"/>
    <x v="0"/>
    <s v="Weather"/>
    <x v="4"/>
  </r>
  <r>
    <s v="AID0050"/>
    <d v="2024-05-24T00:00:00"/>
    <x v="3"/>
    <x v="4"/>
    <s v="Truck"/>
    <x v="1"/>
    <s v="Damaged"/>
    <x v="2"/>
    <s v="Speeding"/>
    <x v="3"/>
  </r>
  <r>
    <s v="AID0051"/>
    <d v="2024-04-01T00:00:00"/>
    <x v="5"/>
    <x v="1"/>
    <s v="Bicycle"/>
    <x v="2"/>
    <s v="Dry"/>
    <x v="0"/>
    <s v="Drunk Driving"/>
    <x v="0"/>
  </r>
  <r>
    <s v="AID0052"/>
    <d v="2024-02-25T00:00:00"/>
    <x v="4"/>
    <x v="2"/>
    <s v="Truck"/>
    <x v="1"/>
    <s v="Damaged"/>
    <x v="3"/>
    <s v="Weather"/>
    <x v="3"/>
  </r>
  <r>
    <s v="AID0053"/>
    <d v="2024-01-20T00:00:00"/>
    <x v="7"/>
    <x v="4"/>
    <s v="Car"/>
    <x v="2"/>
    <s v="Under Construction"/>
    <x v="0"/>
    <s v="Drunk Driving"/>
    <x v="1"/>
  </r>
  <r>
    <s v="AID0054"/>
    <d v="2024-02-23T00:00:00"/>
    <x v="0"/>
    <x v="2"/>
    <s v="Truck"/>
    <x v="2"/>
    <s v="Dry"/>
    <x v="3"/>
    <s v="Drunk Driving"/>
    <x v="4"/>
  </r>
  <r>
    <s v="AID0055"/>
    <d v="2024-05-21T00:00:00"/>
    <x v="0"/>
    <x v="0"/>
    <s v="Auto-Rickshaw"/>
    <x v="0"/>
    <s v="Damaged"/>
    <x v="0"/>
    <s v="Brake Failure"/>
    <x v="2"/>
  </r>
  <r>
    <s v="AID0056"/>
    <d v="2024-03-23T00:00:00"/>
    <x v="3"/>
    <x v="0"/>
    <s v="Bus"/>
    <x v="1"/>
    <s v="Under Construction"/>
    <x v="0"/>
    <s v="Drunk Driving"/>
    <x v="1"/>
  </r>
  <r>
    <s v="AID0057"/>
    <d v="2024-05-21T00:00:00"/>
    <x v="3"/>
    <x v="0"/>
    <s v="Bus"/>
    <x v="2"/>
    <s v="Under Construction"/>
    <x v="2"/>
    <s v="Speeding"/>
    <x v="4"/>
  </r>
  <r>
    <s v="AID0058"/>
    <d v="2024-03-16T00:00:00"/>
    <x v="0"/>
    <x v="1"/>
    <s v="Auto-Rickshaw"/>
    <x v="1"/>
    <s v="Wet"/>
    <x v="2"/>
    <s v="Brake Failure"/>
    <x v="3"/>
  </r>
  <r>
    <s v="AID0059"/>
    <d v="2024-01-26T00:00:00"/>
    <x v="1"/>
    <x v="1"/>
    <s v="Car"/>
    <x v="1"/>
    <s v="Under Construction"/>
    <x v="1"/>
    <s v="Speeding"/>
    <x v="2"/>
  </r>
  <r>
    <s v="AID0060"/>
    <d v="2024-05-14T00:00:00"/>
    <x v="2"/>
    <x v="0"/>
    <s v="Car"/>
    <x v="3"/>
    <s v="Dry"/>
    <x v="1"/>
    <s v="Drunk Driving"/>
    <x v="3"/>
  </r>
  <r>
    <s v="AID0061"/>
    <d v="2024-05-11T00:00:00"/>
    <x v="0"/>
    <x v="2"/>
    <s v="Bicycle"/>
    <x v="1"/>
    <s v="Under Construction"/>
    <x v="1"/>
    <s v="Brake Failure"/>
    <x v="4"/>
  </r>
  <r>
    <s v="AID0062"/>
    <d v="2024-03-04T00:00:00"/>
    <x v="1"/>
    <x v="1"/>
    <s v="Motorcycle"/>
    <x v="1"/>
    <s v="Damaged"/>
    <x v="2"/>
    <s v="Speeding"/>
    <x v="4"/>
  </r>
  <r>
    <s v="AID0063"/>
    <d v="2024-06-10T00:00:00"/>
    <x v="6"/>
    <x v="2"/>
    <s v="Auto-Rickshaw"/>
    <x v="0"/>
    <s v="Under Construction"/>
    <x v="3"/>
    <s v="Brake Failure"/>
    <x v="5"/>
  </r>
  <r>
    <s v="AID0064"/>
    <d v="2024-01-10T00:00:00"/>
    <x v="7"/>
    <x v="0"/>
    <s v="Bus"/>
    <x v="3"/>
    <s v="Under Construction"/>
    <x v="3"/>
    <s v="Speeding"/>
    <x v="2"/>
  </r>
  <r>
    <s v="AID0065"/>
    <d v="2024-03-09T00:00:00"/>
    <x v="2"/>
    <x v="4"/>
    <s v="Auto-Rickshaw"/>
    <x v="2"/>
    <s v="Dry"/>
    <x v="2"/>
    <s v="Distracted Driving"/>
    <x v="5"/>
  </r>
  <r>
    <s v="AID0066"/>
    <d v="2024-03-16T00:00:00"/>
    <x v="5"/>
    <x v="0"/>
    <s v="Motorcycle"/>
    <x v="2"/>
    <s v="Wet"/>
    <x v="2"/>
    <s v="Overtaking"/>
    <x v="3"/>
  </r>
  <r>
    <s v="AID0067"/>
    <d v="2024-02-15T00:00:00"/>
    <x v="3"/>
    <x v="1"/>
    <s v="Bicycle"/>
    <x v="0"/>
    <s v="Wet"/>
    <x v="1"/>
    <s v="Speeding"/>
    <x v="5"/>
  </r>
  <r>
    <s v="AID0068"/>
    <d v="2024-05-05T00:00:00"/>
    <x v="3"/>
    <x v="0"/>
    <s v="Bicycle"/>
    <x v="2"/>
    <s v="Damaged"/>
    <x v="0"/>
    <s v="Drunk Driving"/>
    <x v="1"/>
  </r>
  <r>
    <s v="AID0069"/>
    <d v="2024-04-26T00:00:00"/>
    <x v="1"/>
    <x v="2"/>
    <s v="Motorcycle"/>
    <x v="3"/>
    <s v="Under Construction"/>
    <x v="0"/>
    <s v="Overtaking"/>
    <x v="0"/>
  </r>
  <r>
    <s v="AID0070"/>
    <d v="2024-01-11T00:00:00"/>
    <x v="7"/>
    <x v="2"/>
    <s v="Bicycle"/>
    <x v="1"/>
    <s v="Damaged"/>
    <x v="2"/>
    <s v="Speeding"/>
    <x v="2"/>
  </r>
  <r>
    <s v="AID0071"/>
    <d v="2024-05-18T00:00:00"/>
    <x v="6"/>
    <x v="3"/>
    <s v="Car"/>
    <x v="0"/>
    <s v="Dry"/>
    <x v="2"/>
    <s v="Overtaking"/>
    <x v="3"/>
  </r>
  <r>
    <s v="AID0072"/>
    <d v="2024-06-05T00:00:00"/>
    <x v="1"/>
    <x v="2"/>
    <s v="Bus"/>
    <x v="3"/>
    <s v="Dry"/>
    <x v="3"/>
    <s v="Drunk Driving"/>
    <x v="2"/>
  </r>
  <r>
    <s v="AID0073"/>
    <d v="2024-03-01T00:00:00"/>
    <x v="3"/>
    <x v="2"/>
    <s v="Motorcycle"/>
    <x v="2"/>
    <s v="Dry"/>
    <x v="2"/>
    <s v="Weather"/>
    <x v="5"/>
  </r>
  <r>
    <s v="AID0074"/>
    <d v="2024-06-17T00:00:00"/>
    <x v="3"/>
    <x v="2"/>
    <s v="Car"/>
    <x v="0"/>
    <s v="Wet"/>
    <x v="1"/>
    <s v="Drunk Driving"/>
    <x v="1"/>
  </r>
  <r>
    <s v="AID0075"/>
    <d v="2024-04-17T00:00:00"/>
    <x v="7"/>
    <x v="4"/>
    <s v="Bus"/>
    <x v="3"/>
    <s v="Damaged"/>
    <x v="0"/>
    <s v="Distracted Driving"/>
    <x v="2"/>
  </r>
  <r>
    <s v="AID0076"/>
    <d v="2024-05-25T00:00:00"/>
    <x v="3"/>
    <x v="3"/>
    <s v="Truck"/>
    <x v="3"/>
    <s v="Dry"/>
    <x v="1"/>
    <s v="Weather"/>
    <x v="2"/>
  </r>
  <r>
    <s v="AID0077"/>
    <d v="2024-02-08T00:00:00"/>
    <x v="6"/>
    <x v="3"/>
    <s v="Truck"/>
    <x v="0"/>
    <s v="Under Construction"/>
    <x v="2"/>
    <s v="Brake Failure"/>
    <x v="3"/>
  </r>
  <r>
    <s v="AID0078"/>
    <d v="2024-03-31T00:00:00"/>
    <x v="6"/>
    <x v="4"/>
    <s v="Car"/>
    <x v="0"/>
    <s v="Damaged"/>
    <x v="1"/>
    <s v="Overtaking"/>
    <x v="0"/>
  </r>
  <r>
    <s v="AID0079"/>
    <d v="2024-02-07T00:00:00"/>
    <x v="1"/>
    <x v="1"/>
    <s v="Bus"/>
    <x v="0"/>
    <s v="Wet"/>
    <x v="2"/>
    <s v="Overtaking"/>
    <x v="4"/>
  </r>
  <r>
    <s v="AID0080"/>
    <d v="2024-03-24T00:00:00"/>
    <x v="5"/>
    <x v="0"/>
    <s v="Auto-Rickshaw"/>
    <x v="3"/>
    <s v="Dry"/>
    <x v="2"/>
    <s v="Distracted Driving"/>
    <x v="2"/>
  </r>
  <r>
    <s v="AID0081"/>
    <d v="2024-01-29T00:00:00"/>
    <x v="4"/>
    <x v="1"/>
    <s v="Car"/>
    <x v="0"/>
    <s v="Dry"/>
    <x v="3"/>
    <s v="Distracted Driving"/>
    <x v="0"/>
  </r>
  <r>
    <s v="AID0082"/>
    <d v="2024-04-22T00:00:00"/>
    <x v="5"/>
    <x v="1"/>
    <s v="Bus"/>
    <x v="2"/>
    <s v="Wet"/>
    <x v="1"/>
    <s v="Overtaking"/>
    <x v="1"/>
  </r>
  <r>
    <s v="AID0083"/>
    <d v="2024-05-12T00:00:00"/>
    <x v="1"/>
    <x v="3"/>
    <s v="Motorcycle"/>
    <x v="2"/>
    <s v="Damaged"/>
    <x v="0"/>
    <s v="Weather"/>
    <x v="2"/>
  </r>
  <r>
    <s v="AID0084"/>
    <d v="2024-01-28T00:00:00"/>
    <x v="2"/>
    <x v="0"/>
    <s v="Motorcycle"/>
    <x v="3"/>
    <s v="Under Construction"/>
    <x v="3"/>
    <s v="Brake Failure"/>
    <x v="3"/>
  </r>
  <r>
    <s v="AID0085"/>
    <d v="2024-01-17T00:00:00"/>
    <x v="4"/>
    <x v="2"/>
    <s v="Truck"/>
    <x v="1"/>
    <s v="Wet"/>
    <x v="3"/>
    <s v="Speeding"/>
    <x v="1"/>
  </r>
  <r>
    <s v="AID0086"/>
    <d v="2024-01-11T00:00:00"/>
    <x v="7"/>
    <x v="2"/>
    <s v="Car"/>
    <x v="0"/>
    <s v="Dry"/>
    <x v="3"/>
    <s v="Drunk Driving"/>
    <x v="3"/>
  </r>
  <r>
    <s v="AID0087"/>
    <d v="2024-06-14T00:00:00"/>
    <x v="5"/>
    <x v="2"/>
    <s v="Motorcycle"/>
    <x v="2"/>
    <s v="Wet"/>
    <x v="0"/>
    <s v="Brake Failure"/>
    <x v="5"/>
  </r>
  <r>
    <s v="AID0088"/>
    <d v="2024-03-22T00:00:00"/>
    <x v="0"/>
    <x v="3"/>
    <s v="Bicycle"/>
    <x v="2"/>
    <s v="Dry"/>
    <x v="0"/>
    <s v="Weather"/>
    <x v="3"/>
  </r>
  <r>
    <s v="AID0089"/>
    <d v="2024-06-02T00:00:00"/>
    <x v="6"/>
    <x v="3"/>
    <s v="Auto-Rickshaw"/>
    <x v="1"/>
    <s v="Dry"/>
    <x v="2"/>
    <s v="Speeding"/>
    <x v="0"/>
  </r>
  <r>
    <s v="AID0090"/>
    <d v="2024-01-03T00:00:00"/>
    <x v="1"/>
    <x v="1"/>
    <s v="Car"/>
    <x v="0"/>
    <s v="Dry"/>
    <x v="3"/>
    <s v="Overtaking"/>
    <x v="5"/>
  </r>
  <r>
    <s v="AID0091"/>
    <d v="2024-06-15T00:00:00"/>
    <x v="7"/>
    <x v="4"/>
    <s v="Auto-Rickshaw"/>
    <x v="1"/>
    <s v="Under Construction"/>
    <x v="1"/>
    <s v="Speeding"/>
    <x v="2"/>
  </r>
  <r>
    <s v="AID0092"/>
    <d v="2024-03-18T00:00:00"/>
    <x v="0"/>
    <x v="1"/>
    <s v="Bus"/>
    <x v="0"/>
    <s v="Damaged"/>
    <x v="1"/>
    <s v="Distracted Driving"/>
    <x v="5"/>
  </r>
  <r>
    <s v="AID0093"/>
    <d v="2024-04-07T00:00:00"/>
    <x v="2"/>
    <x v="4"/>
    <s v="Motorcycle"/>
    <x v="1"/>
    <s v="Wet"/>
    <x v="3"/>
    <s v="Distracted Driving"/>
    <x v="4"/>
  </r>
  <r>
    <s v="AID0094"/>
    <d v="2024-06-13T00:00:00"/>
    <x v="7"/>
    <x v="2"/>
    <s v="Bicycle"/>
    <x v="0"/>
    <s v="Damaged"/>
    <x v="1"/>
    <s v="Distracted Driving"/>
    <x v="0"/>
  </r>
  <r>
    <s v="AID0095"/>
    <d v="2024-02-20T00:00:00"/>
    <x v="1"/>
    <x v="1"/>
    <s v="Bicycle"/>
    <x v="0"/>
    <s v="Damaged"/>
    <x v="2"/>
    <s v="Drunk Driving"/>
    <x v="1"/>
  </r>
  <r>
    <s v="AID0096"/>
    <d v="2024-01-22T00:00:00"/>
    <x v="3"/>
    <x v="2"/>
    <s v="Car"/>
    <x v="0"/>
    <s v="Under Construction"/>
    <x v="2"/>
    <s v="Drunk Driving"/>
    <x v="4"/>
  </r>
  <r>
    <s v="AID0097"/>
    <d v="2024-04-21T00:00:00"/>
    <x v="4"/>
    <x v="3"/>
    <s v="Truck"/>
    <x v="2"/>
    <s v="Damaged"/>
    <x v="1"/>
    <s v="Drunk Driving"/>
    <x v="1"/>
  </r>
  <r>
    <s v="AID0098"/>
    <d v="2024-04-08T00:00:00"/>
    <x v="4"/>
    <x v="4"/>
    <s v="Motorcycle"/>
    <x v="2"/>
    <s v="Wet"/>
    <x v="3"/>
    <s v="Speeding"/>
    <x v="0"/>
  </r>
  <r>
    <s v="AID0099"/>
    <d v="2024-06-21T00:00:00"/>
    <x v="7"/>
    <x v="0"/>
    <s v="Auto-Rickshaw"/>
    <x v="0"/>
    <s v="Wet"/>
    <x v="2"/>
    <s v="Drunk Driving"/>
    <x v="2"/>
  </r>
  <r>
    <s v="AID0100"/>
    <d v="2024-01-26T00:00:00"/>
    <x v="5"/>
    <x v="4"/>
    <s v="Motorcycle"/>
    <x v="2"/>
    <s v="Damaged"/>
    <x v="3"/>
    <s v="Overtaking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001"/>
    <x v="0"/>
    <s v="Rahul Sharma"/>
    <s v="North India"/>
    <s v="Electronics"/>
    <s v="Smartwatch"/>
    <n v="10"/>
    <n v="999"/>
    <n v="999"/>
    <n v="998001"/>
    <n v="28"/>
    <s v="Credit Card"/>
  </r>
  <r>
    <n v="1003"/>
    <x v="1"/>
    <s v="Amit Verma"/>
    <s v="West India"/>
    <s v="Home Decor"/>
    <s v="Wall Clock"/>
    <n v="3"/>
    <n v="1999"/>
    <n v="5997"/>
    <n v="25"/>
    <n v="40"/>
    <s v="COD"/>
  </r>
  <r>
    <n v="1004"/>
    <x v="2"/>
    <s v="Sneha Kapoor"/>
    <s v="East India"/>
    <s v="Electronics"/>
    <s v="Bluetooth Speaker"/>
    <n v="6"/>
    <n v="2499"/>
    <n v="9996"/>
    <n v="30"/>
    <n v="24"/>
    <s v="NetBanking"/>
  </r>
  <r>
    <n v="1005"/>
    <x v="3"/>
    <s v="Rajesh Kumar"/>
    <s v="North India"/>
    <s v="Fashion"/>
    <s v="Jeans"/>
    <n v="8"/>
    <n v="2999"/>
    <n v="14995"/>
    <n v="18"/>
    <n v="31"/>
    <s v="Credit Card"/>
  </r>
  <r>
    <n v="1006"/>
    <x v="4"/>
    <s v="Priya Singh"/>
    <s v="South India"/>
    <s v="Home Decor"/>
    <s v="Laptop"/>
    <n v="3"/>
    <n v="999"/>
    <n v="4995"/>
    <n v="15"/>
    <n v="29"/>
    <s v="UPI"/>
  </r>
  <r>
    <n v="1007"/>
    <x v="5"/>
    <s v="Karan Malhotra"/>
    <s v="West India"/>
    <s v="Electronics"/>
    <s v="Sofa Set"/>
    <n v="9"/>
    <n v="1499"/>
    <n v="2998"/>
    <n v="20"/>
    <n v="45"/>
    <s v="COD"/>
  </r>
  <r>
    <n v="1008"/>
    <x v="6"/>
    <s v="Neha Gupta"/>
    <s v="East India"/>
    <s v="Fashion"/>
    <s v="Dress"/>
    <n v="5"/>
    <n v="1999"/>
    <n v="5997"/>
    <n v="25"/>
    <n v="32"/>
    <s v="NetBanking"/>
  </r>
  <r>
    <n v="1009"/>
    <x v="7"/>
    <s v="Vikram Patel"/>
    <s v="North India"/>
    <s v="Home Decor"/>
    <s v="Smartphone"/>
    <n v="2"/>
    <n v="2499"/>
    <n v="19992"/>
    <n v="30"/>
    <n v="27"/>
    <s v="Credit Card"/>
  </r>
  <r>
    <n v="10010"/>
    <x v="8"/>
    <s v="Ayesha Kapoor"/>
    <s v="South India"/>
    <s v="Electronics"/>
    <s v="Dining Table Set"/>
    <n v="7"/>
    <n v="2999"/>
    <n v="14995"/>
    <n v="18"/>
    <n v="39"/>
    <s v="UPI"/>
  </r>
  <r>
    <n v="10011"/>
    <x v="9"/>
    <s v="Amitabh Verma"/>
    <s v="West India"/>
    <s v="Fashion"/>
    <s v="Leather Jacket"/>
    <n v="10"/>
    <n v="999"/>
    <n v="999"/>
    <n v="15"/>
    <n v="28"/>
    <s v="COD"/>
  </r>
  <r>
    <n v="10012"/>
    <x v="10"/>
    <s v="Sneha Gupta"/>
    <s v="East India"/>
    <s v="Home Decor"/>
    <s v="Headphones"/>
    <n v="3"/>
    <n v="1499"/>
    <n v="11992"/>
    <n v="20"/>
    <n v="35"/>
    <s v="NetBanking"/>
  </r>
  <r>
    <n v="10013"/>
    <x v="11"/>
    <s v="Nikhil Kumar"/>
    <s v="North India"/>
    <s v="Electronics"/>
    <s v="Floor Lamp"/>
    <n v="3"/>
    <n v="1999"/>
    <n v="5997"/>
    <n v="25"/>
    <n v="40"/>
    <s v="Credit Card"/>
  </r>
  <r>
    <n v="10014"/>
    <x v="12"/>
    <s v="Meera Sharma"/>
    <s v="South India"/>
    <s v="Fashion"/>
    <s v="Sneakers"/>
    <n v="6"/>
    <n v="2499"/>
    <n v="9996"/>
    <n v="30"/>
    <n v="24"/>
    <s v="UPI"/>
  </r>
  <r>
    <n v="10015"/>
    <x v="13"/>
    <s v="Aditya Verma"/>
    <s v="West India"/>
    <s v="Home Decor"/>
    <s v="Gaming Console"/>
    <n v="6"/>
    <n v="2999"/>
    <n v="14995"/>
    <n v="18"/>
    <n v="31"/>
    <s v="COD"/>
  </r>
  <r>
    <n v="10016"/>
    <x v="14"/>
    <s v="Rohan Malhotra"/>
    <s v="East India"/>
    <s v="Electronics"/>
    <s v="Drone Camera"/>
    <n v="10"/>
    <n v="999"/>
    <n v="5994"/>
    <n v="15"/>
    <n v="29"/>
    <s v="NetBanking"/>
  </r>
  <r>
    <n v="10017"/>
    <x v="15"/>
    <s v="Neha Kapoor"/>
    <s v="North India"/>
    <s v="Fashion"/>
    <s v="TV"/>
    <n v="4"/>
    <n v="1499"/>
    <n v="2998"/>
    <n v="20"/>
    <n v="45"/>
    <s v="Credit Card"/>
  </r>
  <r>
    <n v="10018"/>
    <x v="16"/>
    <s v="Kunal Singh"/>
    <s v="South India"/>
    <s v="Home Decor"/>
    <s v="Smart Glasses"/>
    <n v="5"/>
    <n v="1999"/>
    <n v="13993"/>
    <n v="25"/>
    <n v="32"/>
    <s v="UPI"/>
  </r>
  <r>
    <n v="10019"/>
    <x v="17"/>
    <s v="Alisha Roy"/>
    <s v="West India"/>
    <s v="Electronics"/>
    <s v="Recliner Sofa"/>
    <n v="7"/>
    <n v="2499"/>
    <n v="9996"/>
    <n v="30"/>
    <n v="27"/>
    <s v="COD"/>
  </r>
  <r>
    <n v="10020"/>
    <x v="18"/>
    <s v="Tarun Mishra"/>
    <s v="East India"/>
    <s v="Fashion"/>
    <s v="Washing Machine"/>
    <n v="6"/>
    <n v="2999"/>
    <n v="14995"/>
    <n v="18"/>
    <n v="39"/>
    <s v="NetBanking"/>
  </r>
  <r>
    <n v="10021"/>
    <x v="19"/>
    <s v="Pooja Nair"/>
    <s v="North India"/>
    <s v="Home Decor"/>
    <s v="Earbuds"/>
    <n v="7"/>
    <n v="999"/>
    <n v="999"/>
    <n v="15"/>
    <n v="28"/>
    <s v="Credit Card"/>
  </r>
  <r>
    <n v="10022"/>
    <x v="20"/>
    <s v="Manish Tiwari"/>
    <s v="South India"/>
    <s v="Electronics"/>
    <s v="Formal Shirt"/>
    <n v="3"/>
    <n v="1499"/>
    <n v="17988"/>
    <n v="20"/>
    <n v="35"/>
    <s v="UPI"/>
  </r>
  <r>
    <n v="10023"/>
    <x v="21"/>
    <s v="Shreya Desai"/>
    <s v="West India"/>
    <s v="Fashion"/>
    <s v="Coffee Table"/>
    <n v="4"/>
    <n v="1999"/>
    <n v="5997"/>
    <n v="25"/>
    <n v="40"/>
    <s v="COD"/>
  </r>
  <r>
    <n v="10024"/>
    <x v="22"/>
    <s v="Kabir Joshi"/>
    <s v="East India"/>
    <s v="Home Decor"/>
    <s v="Air Conditioner"/>
    <n v="10"/>
    <n v="2499"/>
    <n v="9996"/>
    <n v="30"/>
    <n v="24"/>
    <s v="NetBanking"/>
  </r>
  <r>
    <n v="10025"/>
    <x v="23"/>
    <s v="Anita Yadav"/>
    <s v="North India"/>
    <s v="Electronics"/>
    <s v="Running Shoes"/>
    <n v="8"/>
    <n v="2999"/>
    <n v="14995"/>
    <n v="18"/>
    <n v="31"/>
    <s v="Credit Card"/>
  </r>
  <r>
    <n v="10026"/>
    <x v="24"/>
    <s v="Vivek Chopra"/>
    <s v="South India"/>
    <s v="Fashion"/>
    <s v="Tablet"/>
    <n v="4"/>
    <n v="999"/>
    <n v="2997"/>
    <n v="15"/>
    <n v="29"/>
    <s v="UPI"/>
  </r>
  <r>
    <n v="10027"/>
    <x v="25"/>
    <s v="Simran Kaur"/>
    <s v="West India"/>
    <s v="Home Decor"/>
    <s v="Neckband"/>
    <n v="3"/>
    <n v="1499"/>
    <n v="2998"/>
    <n v="20"/>
    <n v="45"/>
    <s v="COD"/>
  </r>
  <r>
    <n v="10028"/>
    <x v="26"/>
    <s v="Nitin Bansal"/>
    <s v="East India"/>
    <s v="Electronics"/>
    <s v="Bookshelf"/>
    <n v="6"/>
    <n v="1999"/>
    <n v="5997"/>
    <n v="25"/>
    <n v="32"/>
    <s v="NetBanking"/>
  </r>
  <r>
    <n v="10029"/>
    <x v="27"/>
    <s v="Rekha Reddy"/>
    <s v="North India"/>
    <s v="Fashion"/>
    <s v="Microwave"/>
    <n v="7"/>
    <n v="2499"/>
    <n v="9996"/>
    <n v="30"/>
    <n v="27"/>
    <s v="Credit Card"/>
  </r>
  <r>
    <n v="10030"/>
    <x v="28"/>
    <s v="Gautam Saxena"/>
    <s v="South India"/>
    <s v="Home Decor"/>
    <s v="Backpack"/>
    <n v="6"/>
    <n v="2999"/>
    <n v="26991"/>
    <n v="18"/>
    <n v="39"/>
    <s v="UPI"/>
  </r>
  <r>
    <n v="10031"/>
    <x v="29"/>
    <s v="Preeti Rawat"/>
    <s v="West India"/>
    <s v="Electronics"/>
    <s v="Gaming Mouse"/>
    <n v="3"/>
    <n v="999"/>
    <n v="999"/>
    <n v="15"/>
    <n v="28"/>
    <s v="COD"/>
  </r>
  <r>
    <n v="10032"/>
    <x v="30"/>
    <s v="Ashok Sharma"/>
    <s v="East India"/>
    <s v="Fashion"/>
    <s v="Leather Wallet"/>
    <n v="3"/>
    <n v="1499"/>
    <n v="2998"/>
    <n v="20"/>
    <n v="35"/>
    <s v="NetBanking"/>
  </r>
  <r>
    <n v="10033"/>
    <x v="31"/>
    <s v="Divya Nair"/>
    <s v="North India"/>
    <s v="Home Decor"/>
    <s v="Ceiling Fan"/>
    <n v="7"/>
    <n v="1999"/>
    <n v="5997"/>
    <n v="25"/>
    <n v="40"/>
    <s v="Credit Card"/>
  </r>
  <r>
    <n v="10034"/>
    <x v="32"/>
    <s v="Kiran Kapoor"/>
    <s v="South India"/>
    <s v="Electronics"/>
    <s v="Sports Watch"/>
    <n v="10"/>
    <n v="2499"/>
    <n v="9996"/>
    <n v="30"/>
    <n v="24"/>
    <s v="UPI"/>
  </r>
  <r>
    <n v="10035"/>
    <x v="33"/>
    <s v="Yash Malhotra"/>
    <s v="West India"/>
    <s v="Fashion"/>
    <s v="Router"/>
    <n v="2"/>
    <n v="2999"/>
    <n v="14995"/>
    <n v="18"/>
    <n v="31"/>
    <s v="COD"/>
  </r>
  <r>
    <n v="10036"/>
    <x v="34"/>
    <s v="Anurag Verma"/>
    <s v="East India"/>
    <s v="Home Decor"/>
    <s v="Smart Bulb"/>
    <n v="6"/>
    <n v="999"/>
    <n v="999"/>
    <n v="15"/>
    <n v="29"/>
    <s v="NetBanking"/>
  </r>
  <r>
    <n v="10037"/>
    <x v="35"/>
    <s v="Ritika Shah"/>
    <s v="North India"/>
    <s v="Electronics"/>
    <s v="Office Chair"/>
    <n v="7"/>
    <n v="1499"/>
    <n v="2998"/>
    <n v="20"/>
    <n v="45"/>
    <s v="Credit Card"/>
  </r>
  <r>
    <n v="10038"/>
    <x v="36"/>
    <s v="Tanmay Goel"/>
    <s v="South India"/>
    <s v="Fashion"/>
    <s v="Blender"/>
    <n v="10"/>
    <n v="1999"/>
    <n v="3998"/>
    <n v="25"/>
    <n v="32"/>
    <s v="UPI"/>
  </r>
  <r>
    <n v="10039"/>
    <x v="37"/>
    <s v="Varun Singh"/>
    <s v="West India"/>
    <s v="Home Decor"/>
    <s v="Perfume"/>
    <n v="7"/>
    <n v="2499"/>
    <n v="9996"/>
    <n v="30"/>
    <n v="27"/>
    <s v="COD"/>
  </r>
  <r>
    <n v="10040"/>
    <x v="38"/>
    <s v="Payal Mehta"/>
    <s v="East India"/>
    <s v="Electronics"/>
    <s v="Power Bank"/>
    <n v="7"/>
    <n v="2999"/>
    <n v="8997"/>
    <n v="18"/>
    <n v="39"/>
    <s v="NetBanking"/>
  </r>
  <r>
    <n v="10041"/>
    <x v="39"/>
    <s v="Snehal Desai"/>
    <s v="North India"/>
    <s v="Fashion"/>
    <s v="LED Bulb"/>
    <n v="5"/>
    <n v="999"/>
    <n v="999"/>
    <n v="15"/>
    <n v="28"/>
    <s v="Credit Card"/>
  </r>
  <r>
    <n v="10042"/>
    <x v="40"/>
    <s v="Ajay Patel"/>
    <s v="South India"/>
    <s v="Home Decor"/>
    <s v="Gym Gloves"/>
    <n v="8"/>
    <n v="1499"/>
    <n v="2998"/>
    <n v="20"/>
    <n v="35"/>
    <s v="UPI"/>
  </r>
  <r>
    <n v="10043"/>
    <x v="41"/>
    <s v="Kritika Gupta"/>
    <s v="West India"/>
    <s v="Electronics"/>
    <s v="Wall Art"/>
    <n v="1"/>
    <n v="1999"/>
    <n v="5997"/>
    <n v="25"/>
    <n v="40"/>
    <s v="COD"/>
  </r>
  <r>
    <n v="10044"/>
    <x v="42"/>
    <s v="Dinesh Nair"/>
    <s v="East India"/>
    <s v="Fashion"/>
    <s v="Printer"/>
    <n v="6"/>
    <n v="2499"/>
    <n v="9996"/>
    <n v="30"/>
    <n v="24"/>
    <s v="NetBanking"/>
  </r>
  <r>
    <n v="10045"/>
    <x v="43"/>
    <s v="Priyanka Rao"/>
    <s v="North India"/>
    <s v="Home Decor"/>
    <s v="Sunglasses"/>
    <n v="6"/>
    <n v="2999"/>
    <n v="14995"/>
    <n v="18"/>
    <n v="31"/>
    <s v="Credit Card"/>
  </r>
  <r>
    <n v="10046"/>
    <x v="44"/>
    <s v="Harsh Malhotra"/>
    <s v="South India"/>
    <s v="Electronics"/>
    <s v="Speaker"/>
    <n v="8"/>
    <n v="999"/>
    <n v="1998"/>
    <n v="15"/>
    <n v="29"/>
    <s v="UPI"/>
  </r>
  <r>
    <n v="10047"/>
    <x v="45"/>
    <s v="Lavanya Kapoor"/>
    <s v="West India"/>
    <s v="Fashion"/>
    <s v="Trolley Bag"/>
    <n v="4"/>
    <n v="1499"/>
    <n v="2998"/>
    <n v="20"/>
    <n v="45"/>
    <s v="COD"/>
  </r>
  <r>
    <n v="10048"/>
    <x v="46"/>
    <s v="Aniket Shah"/>
    <s v="East India"/>
    <s v="Home Decor"/>
    <s v="Curtains"/>
    <n v="6"/>
    <n v="1999"/>
    <n v="5997"/>
    <n v="25"/>
    <n v="32"/>
    <s v="NetBanking"/>
  </r>
  <r>
    <n v="10049"/>
    <x v="47"/>
    <s v="Niharika Joshi"/>
    <s v="North India"/>
    <s v="Electronics"/>
    <s v="Induction Stove"/>
    <n v="9"/>
    <n v="2499"/>
    <n v="22491"/>
    <n v="30"/>
    <n v="27"/>
    <s v="Credit Card"/>
  </r>
  <r>
    <n v="10050"/>
    <x v="48"/>
    <s v="Ravi Sharma"/>
    <s v="South India"/>
    <s v="Fashion"/>
    <s v="Travel Pillow"/>
    <n v="8"/>
    <n v="2999"/>
    <n v="14995"/>
    <n v="18"/>
    <n v="39"/>
    <s v="UPI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s v="CUST1000"/>
    <s v="West"/>
    <s v="India"/>
    <s v="Karnataka"/>
    <n v="9515759149"/>
    <x v="0"/>
    <s v="Shirt"/>
    <n v="2439.81"/>
    <n v="5"/>
    <n v="3559.55"/>
    <s v="Credit Card"/>
    <s v="Medium"/>
    <x v="0"/>
    <s v="High"/>
    <n v="29.18"/>
    <n v="29.18"/>
  </r>
  <r>
    <s v="CUST1001"/>
    <s v="West"/>
    <s v="India"/>
    <s v="Karnataka"/>
    <n v="9720381947"/>
    <x v="1"/>
    <s v="Table"/>
    <n v="1621.43"/>
    <n v="13"/>
    <m/>
    <s v="Net Banking"/>
    <s v="High"/>
    <x v="1"/>
    <s v="High"/>
    <n v="19.12"/>
    <n v="0"/>
  </r>
  <r>
    <s v="CUST1002"/>
    <s v="South"/>
    <s v="India"/>
    <s v="West Bengal"/>
    <n v="9483465530"/>
    <x v="0"/>
    <s v="T-shirt"/>
    <n v="1363.73"/>
    <n v="1"/>
    <n v="362.2"/>
    <s v="Net Banking"/>
    <s v="Low"/>
    <x v="2"/>
    <s v="Low"/>
    <n v="26.56"/>
    <n v="26.56"/>
  </r>
  <r>
    <s v="CUST1003"/>
    <s v="South"/>
    <s v="India"/>
    <s v="West Bengal"/>
    <n v="9350165589"/>
    <x v="1"/>
    <s v="Sofa"/>
    <n v="1172.93"/>
    <n v="5"/>
    <n v="1542.65"/>
    <s v="Cash"/>
    <s v="Low"/>
    <x v="3"/>
    <s v="Medium"/>
    <n v="26.3"/>
    <n v="26.3"/>
  </r>
  <r>
    <s v="CUST1004"/>
    <s v="South"/>
    <s v="India"/>
    <s v="Karnataka"/>
    <n v="9621991901"/>
    <x v="0"/>
    <s v="Jeans"/>
    <n v="2457.56"/>
    <n v="13"/>
    <n v="6972.71"/>
    <s v="Credit Card"/>
    <s v="High"/>
    <x v="4"/>
    <s v="High"/>
    <n v="21.82"/>
    <n v="21.82"/>
  </r>
  <r>
    <s v="CUST1005"/>
    <s v="South"/>
    <s v="India"/>
    <s v="West Bengal"/>
    <n v="9734105442"/>
    <x v="0"/>
    <s v="Dress"/>
    <n v="2661.44"/>
    <n v="7"/>
    <n v="2581.67"/>
    <s v="Net Banking"/>
    <s v="Medium"/>
    <x v="5"/>
    <s v="High"/>
    <n v="13.86"/>
    <n v="13.86"/>
  </r>
  <r>
    <s v="CUST1006"/>
    <s v="East"/>
    <s v="India"/>
    <s v="Tamil Nadu"/>
    <n v="9117390999"/>
    <x v="0"/>
    <s v="T-shirt"/>
    <n v="1400.82"/>
    <n v="6"/>
    <n v="994.44"/>
    <s v="UPI"/>
    <s v="Low"/>
    <x v="6"/>
    <s v="Medium"/>
    <n v="11.83"/>
    <n v="11.83"/>
  </r>
  <r>
    <s v="CUST1007"/>
    <s v="West"/>
    <s v="India"/>
    <s v="Karnataka"/>
    <n v="9513032833"/>
    <x v="1"/>
    <s v="Chair"/>
    <n v="416.18"/>
    <n v="3"/>
    <n v="327.88"/>
    <s v="Net Banking"/>
    <s v="Low"/>
    <x v="7"/>
    <s v="Low"/>
    <n v="26.26"/>
    <n v="26.26"/>
  </r>
  <r>
    <s v="CUST1008"/>
    <s v="South"/>
    <s v="India"/>
    <s v="Maharashtra"/>
    <n v="95543976868"/>
    <x v="1"/>
    <s v="Chair"/>
    <n v="1290.47"/>
    <n v="6"/>
    <n v="1045.43"/>
    <s v="Net Banking"/>
    <s v="Low"/>
    <x v="8"/>
    <s v="Medium"/>
    <n v="13.5"/>
    <n v="13.5"/>
  </r>
  <r>
    <s v="CUST1009"/>
    <s v="West"/>
    <s v="India"/>
    <s v="Gujarat"/>
    <n v="9866250123"/>
    <x v="0"/>
    <s v="T-shirt"/>
    <n v="2519.94"/>
    <n v="15"/>
    <n v="11123.31"/>
    <s v="Cash"/>
    <s v="High"/>
    <x v="9"/>
    <s v="High"/>
    <n v="29.43"/>
    <n v="29.43"/>
  </r>
  <r>
    <s v="CUST1010"/>
    <s v="South"/>
    <s v="India"/>
    <s v="Rajasthan"/>
    <n v="9884314044"/>
    <x v="0"/>
    <s v="T-shirt"/>
    <n v="2814.97"/>
    <n v="1"/>
    <n v="716.15"/>
    <s v="Net Banking"/>
    <s v="Low"/>
    <x v="10"/>
    <s v="Low"/>
    <n v="25.44"/>
    <n v="25.44"/>
  </r>
  <r>
    <s v="CUST1011"/>
    <s v="East"/>
    <s v="India"/>
    <s v="West Bengal"/>
    <n v="9192128284"/>
    <x v="0"/>
    <s v="Jeans"/>
    <n v="841.72"/>
    <n v="13"/>
    <n v="2130.1799999999998"/>
    <s v="UPI"/>
    <s v="Medium"/>
    <x v="11"/>
    <s v="High"/>
    <n v="19.47"/>
    <n v="19.47"/>
  </r>
  <r>
    <s v="CUST1012"/>
    <s v="North"/>
    <s v="India"/>
    <s v="West Bengal"/>
    <n v="9731590483"/>
    <x v="2"/>
    <s v="Tablet"/>
    <n v="1169.28"/>
    <n v="2"/>
    <n v="273.95"/>
    <s v="Credit Card"/>
    <s v="Low"/>
    <x v="12"/>
    <s v="Low"/>
    <n v="11.71"/>
    <n v="11.71"/>
  </r>
  <r>
    <s v="CUST1013"/>
    <s v="West"/>
    <s v="India"/>
    <s v="Karnataka"/>
    <n v="9245312903"/>
    <x v="1"/>
    <s v="Bookshelf"/>
    <n v="2320.0300000000002"/>
    <n v="3"/>
    <n v="1260.55"/>
    <s v="Credit Card"/>
    <s v="Low"/>
    <x v="13"/>
    <s v="Medium"/>
    <n v="18.11"/>
    <n v="18.11"/>
  </r>
  <r>
    <s v="CUST1014"/>
    <s v="North"/>
    <s v="India"/>
    <s v="West Bengal"/>
    <n v="9587137236"/>
    <x v="0"/>
    <s v="T-shirt"/>
    <n v="1780.66"/>
    <n v="11"/>
    <n v="2826.93"/>
    <s v="UPI"/>
    <s v="Medium"/>
    <x v="14"/>
    <s v="High"/>
    <n v="14.43"/>
    <n v="14.43"/>
  </r>
  <r>
    <s v="CUST1015"/>
    <s v="North"/>
    <s v="India"/>
    <s v="Tamil Nadu"/>
    <n v="9161819590"/>
    <x v="2"/>
    <s v="Monitor"/>
    <n v="2672"/>
    <n v="15"/>
    <n v="4719.91"/>
    <s v="Cash"/>
    <s v="High"/>
    <x v="15"/>
    <s v="High"/>
    <n v="11.78"/>
    <n v="11.78"/>
  </r>
  <r>
    <s v="CUST1016"/>
    <s v="South"/>
    <s v="India"/>
    <s v="West Bengal"/>
    <n v="9551484924"/>
    <x v="0"/>
    <s v="Jacket"/>
    <n v="824.49"/>
    <n v="9"/>
    <n v="1403.14"/>
    <s v="Debit Card"/>
    <s v="Low"/>
    <x v="16"/>
    <s v="Medium"/>
    <n v="18.91"/>
    <n v="18.91"/>
  </r>
  <r>
    <s v="CUST1017"/>
    <s v="East"/>
    <s v="India"/>
    <s v="Uttar Pradesh"/>
    <n v="91682255459"/>
    <x v="2"/>
    <s v="Headphones"/>
    <n v="2896.96"/>
    <n v="7"/>
    <n v="3528.3"/>
    <s v="Net Banking"/>
    <s v="High"/>
    <x v="17"/>
    <s v="High"/>
    <n v="17.399999999999999"/>
    <n v="17.399999999999999"/>
  </r>
  <r>
    <s v="CUST1018"/>
    <s v="South"/>
    <s v="India"/>
    <s v="Maharashtra"/>
    <n v="9277023818"/>
    <x v="2"/>
    <s v="Monitor"/>
    <n v="1235.32"/>
    <n v="9"/>
    <n v="2542.0700000000002"/>
    <s v="Debit Card"/>
    <s v="Medium"/>
    <x v="18"/>
    <s v="High"/>
    <n v="22.86"/>
    <n v="22.86"/>
  </r>
  <r>
    <s v="CUST1019"/>
    <s v="East"/>
    <s v="India"/>
    <s v="Gujarat"/>
    <n v="9670448490"/>
    <x v="1"/>
    <s v="Table"/>
    <n v="2168.33"/>
    <n v="3"/>
    <n v="1394.93"/>
    <s v="Cash"/>
    <s v="Low"/>
    <x v="19"/>
    <s v="Medium"/>
    <n v="21.44"/>
    <n v="21.44"/>
  </r>
  <r>
    <s v="CUST1020"/>
    <s v="East"/>
    <s v="India"/>
    <s v="West Bengal"/>
    <n v="9123788207"/>
    <x v="0"/>
    <s v="Jacket"/>
    <n v="2654.54"/>
    <n v="5"/>
    <n v="3308.52"/>
    <s v="Debit Card"/>
    <s v="Medium"/>
    <x v="20"/>
    <s v="High"/>
    <n v="24.93"/>
    <n v="24.93"/>
  </r>
  <r>
    <s v="CUST1021"/>
    <s v="West"/>
    <s v="India"/>
    <s v="Tamil Nadu"/>
    <n v="99831923457"/>
    <x v="2"/>
    <s v="Laptop"/>
    <n v="1313.77"/>
    <n v="7"/>
    <n v="2435.5500000000002"/>
    <s v="Cash"/>
    <s v="Low"/>
    <x v="21"/>
    <s v="Medium"/>
    <n v="26.48"/>
    <n v="26.48"/>
  </r>
  <r>
    <s v="CUST1022"/>
    <s v="East"/>
    <s v="India"/>
    <s v="Gujarat"/>
    <n v="9822358874"/>
    <x v="2"/>
    <s v="Headphones"/>
    <n v="1602.24"/>
    <n v="13"/>
    <n v="3082.85"/>
    <s v="Debit Card"/>
    <s v="High"/>
    <x v="22"/>
    <s v="High"/>
    <n v="14.8"/>
    <n v="14.8"/>
  </r>
  <r>
    <s v="CUST1023"/>
    <s v="West"/>
    <s v="India"/>
    <s v="Uttar Pradesh"/>
    <n v="9497595031"/>
    <x v="1"/>
    <s v="Sofa"/>
    <n v="592.33000000000004"/>
    <n v="4"/>
    <n v="539.64"/>
    <s v="Net Banking"/>
    <s v="Low"/>
    <x v="23"/>
    <s v="Low"/>
    <n v="22.78"/>
    <n v="22.78"/>
  </r>
  <r>
    <s v="CUST1024"/>
    <s v="South"/>
    <s v="India"/>
    <s v="Rajasthan"/>
    <n v="9781615192"/>
    <x v="2"/>
    <s v="Monitor"/>
    <n v="589.14"/>
    <n v="8"/>
    <n v="1252.56"/>
    <s v="Cash"/>
    <s v="Low"/>
    <x v="24"/>
    <s v="Low"/>
    <n v="26.58"/>
    <n v="26.58"/>
  </r>
  <r>
    <s v="CUST1025"/>
    <s v="North"/>
    <s v="India"/>
    <s v="Uttar Pradesh"/>
    <n v="9310431691"/>
    <x v="1"/>
    <s v="Chair"/>
    <n v="2354.6"/>
    <n v="4"/>
    <n v="2575.4299999999998"/>
    <s v="Credit Card"/>
    <s v="Low"/>
    <x v="25"/>
    <s v="Medium"/>
    <n v="27.34"/>
    <n v="27.34"/>
  </r>
  <r>
    <s v="CUST1026"/>
    <s v="East"/>
    <s v="India"/>
    <s v="Uttar Pradesh"/>
    <n v="9375633062"/>
    <x v="2"/>
    <s v="Smartphone"/>
    <n v="1920.55"/>
    <n v="6"/>
    <n v="2254.59"/>
    <s v="Credit Card"/>
    <s v="Medium"/>
    <x v="26"/>
    <s v="High"/>
    <n v="19.57"/>
    <n v="19.57"/>
  </r>
  <r>
    <s v="CUST1027"/>
    <s v="East"/>
    <s v="India"/>
    <s v="West Bengal"/>
    <n v="9958467371"/>
    <x v="0"/>
    <s v="Dress"/>
    <n v="1086.4100000000001"/>
    <n v="7"/>
    <n v="2066.7600000000002"/>
    <s v="Credit Card"/>
    <s v="Low"/>
    <x v="27"/>
    <s v="Medium"/>
    <n v="27.18"/>
    <n v="27.18"/>
  </r>
  <r>
    <s v="CUST1028"/>
    <s v="East"/>
    <s v="India"/>
    <s v="West Bengal"/>
    <n v="9485913642"/>
    <x v="1"/>
    <s v="Bookshelf"/>
    <n v="1181.07"/>
    <n v="13"/>
    <n v="3821.07"/>
    <s v="Cash"/>
    <s v="Medium"/>
    <x v="28"/>
    <s v="High"/>
    <n v="24.89"/>
    <n v="24.89"/>
  </r>
  <r>
    <s v="CUST1029"/>
    <s v="East"/>
    <s v="India"/>
    <s v="Uttar Pradesh"/>
    <n v="9942727052"/>
    <x v="1"/>
    <s v="Cupboard"/>
    <n v="2521.1999999999998"/>
    <n v="8"/>
    <n v="6046.68"/>
    <s v="Credit Card"/>
    <s v="High"/>
    <x v="29"/>
    <s v="High"/>
    <n v="29.98"/>
    <n v="29.98"/>
  </r>
  <r>
    <s v="CUST1030"/>
    <s v="South"/>
    <s v="India"/>
    <s v="Gujarat"/>
    <n v="9164209990"/>
    <x v="0"/>
    <s v="Jeans"/>
    <n v="1741.71"/>
    <n v="15"/>
    <n v="4026.14"/>
    <s v="UPI"/>
    <s v="High"/>
    <x v="30"/>
    <s v="High"/>
    <n v="15.41"/>
    <n v="15.41"/>
  </r>
  <r>
    <s v="CUST1031"/>
    <s v="South"/>
    <s v="India"/>
    <s v="Uttar Pradesh"/>
    <n v="9972130283"/>
    <x v="1"/>
    <s v="Sofa"/>
    <n v="1691.18"/>
    <n v="9"/>
    <n v="3286.83"/>
    <s v="Net Banking"/>
    <s v="Medium"/>
    <x v="31"/>
    <s v="High"/>
    <n v="21.59"/>
    <n v="21.59"/>
  </r>
  <r>
    <s v="CUST1032"/>
    <s v="South"/>
    <s v="India"/>
    <s v="Uttar Pradesh"/>
    <n v="9305312346"/>
    <x v="0"/>
    <s v="Jacket"/>
    <n v="2430.4899999999998"/>
    <n v="1"/>
    <n v="538.34"/>
    <s v="Debit Card"/>
    <s v="Low"/>
    <x v="32"/>
    <s v="Low"/>
    <n v="22.15"/>
    <n v="22.15"/>
  </r>
  <r>
    <s v="CUST1033"/>
    <s v="West"/>
    <s v="India"/>
    <s v="Uttar Pradesh"/>
    <n v="9403336927"/>
    <x v="0"/>
    <s v="Dress"/>
    <n v="1937.5"/>
    <n v="10"/>
    <n v="2548.08"/>
    <s v="UPI"/>
    <s v="Medium"/>
    <x v="33"/>
    <s v="High"/>
    <n v="13.15"/>
    <n v="13.15"/>
  </r>
  <r>
    <s v="CUST1034"/>
    <s v="North"/>
    <s v="India"/>
    <s v="Karnataka"/>
    <n v="9209432112"/>
    <x v="0"/>
    <s v="T-shirt"/>
    <n v="2848.61"/>
    <n v="15"/>
    <n v="6188.69"/>
    <s v="Debit Card"/>
    <s v="High"/>
    <x v="34"/>
    <s v="High"/>
    <n v="14.48"/>
    <n v="14.48"/>
  </r>
  <r>
    <s v="CUST1035"/>
    <s v="North"/>
    <s v="India"/>
    <s v="Maharashtra"/>
    <n v="92886736565"/>
    <x v="1"/>
    <s v="Cupboard"/>
    <n v="537.01"/>
    <n v="15"/>
    <n v="848.33"/>
    <s v="Debit Card"/>
    <s v="Low"/>
    <x v="35"/>
    <s v="Medium"/>
    <n v="10.53"/>
    <n v="10.53"/>
  </r>
  <r>
    <s v="CUST1036"/>
    <s v="East"/>
    <s v="India"/>
    <s v="Karnataka"/>
    <n v="9696039067"/>
    <x v="1"/>
    <s v="Sofa"/>
    <n v="2052.79"/>
    <n v="1"/>
    <n v="296.79000000000002"/>
    <s v="Net Banking"/>
    <s v="Low"/>
    <x v="36"/>
    <s v="Low"/>
    <n v="14.46"/>
    <n v="14.46"/>
  </r>
  <r>
    <s v="CUST1037"/>
    <s v="East"/>
    <s v="India"/>
    <s v="Maharashtra"/>
    <n v="9729755086"/>
    <x v="0"/>
    <s v="Jacket"/>
    <n v="1708.1"/>
    <n v="3"/>
    <n v="897.22"/>
    <s v="Credit Card"/>
    <s v="Low"/>
    <x v="37"/>
    <s v="Medium"/>
    <n v="17.510000000000002"/>
    <n v="17.510000000000002"/>
  </r>
  <r>
    <s v="CUST1038"/>
    <s v="East"/>
    <s v="India"/>
    <s v="Uttar Pradesh"/>
    <n v="9291717779"/>
    <x v="2"/>
    <s v="Headphones"/>
    <n v="1616.55"/>
    <n v="14"/>
    <n v="6621.29"/>
    <s v="Credit Card"/>
    <s v="High"/>
    <x v="38"/>
    <s v="High"/>
    <n v="29.26"/>
    <n v="29.26"/>
  </r>
  <r>
    <s v="CUST1039"/>
    <s v="East"/>
    <s v="India"/>
    <s v="Karnataka"/>
    <n v="9596984707"/>
    <x v="0"/>
    <s v="Jeans"/>
    <n v="1774.62"/>
    <n v="7"/>
    <n v="3378.16"/>
    <s v="Credit Card"/>
    <s v="Medium"/>
    <x v="39"/>
    <s v="High"/>
    <n v="27.19"/>
    <n v="27.19"/>
  </r>
  <r>
    <s v="CUST1040"/>
    <s v="South"/>
    <s v="India"/>
    <s v="Gujarat"/>
    <n v="9621477109"/>
    <x v="2"/>
    <s v="Smartphone"/>
    <n v="644.14"/>
    <n v="12"/>
    <n v="988.52"/>
    <s v="Cash"/>
    <s v="Low"/>
    <x v="40"/>
    <s v="Medium"/>
    <n v="12.79"/>
    <n v="12.79"/>
  </r>
  <r>
    <s v="CUST1041"/>
    <s v="South"/>
    <s v="India"/>
    <s v="West Bengal"/>
    <n v="9813614929"/>
    <x v="1"/>
    <s v="Sofa"/>
    <n v="1767.47"/>
    <n v="13"/>
    <n v="3353.4"/>
    <s v="UPI"/>
    <s v="High"/>
    <x v="41"/>
    <s v="High"/>
    <n v="14.59"/>
    <n v="14.59"/>
  </r>
  <r>
    <s v="CUST1042"/>
    <s v="East"/>
    <s v="India"/>
    <s v="Tamil Nadu"/>
    <n v="9314930259"/>
    <x v="0"/>
    <s v="Dress"/>
    <n v="2506.6"/>
    <n v="11"/>
    <n v="8011.16"/>
    <s v="UPI"/>
    <s v="High"/>
    <x v="42"/>
    <s v="High"/>
    <n v="29.05"/>
    <n v="29.05"/>
  </r>
  <r>
    <s v="CUST1043"/>
    <s v="West"/>
    <s v="India"/>
    <s v="West Bengal"/>
    <n v="93262535688"/>
    <x v="2"/>
    <s v="Tablet"/>
    <n v="727.87"/>
    <n v="2"/>
    <n v="385.93"/>
    <s v="Credit Card"/>
    <s v="Low"/>
    <x v="43"/>
    <s v="Low"/>
    <n v="26.51"/>
    <n v="26.51"/>
  </r>
  <r>
    <s v="CUST1044"/>
    <s v="West"/>
    <s v="India"/>
    <s v="Uttar Pradesh"/>
    <n v="9922473225"/>
    <x v="1"/>
    <s v="Sofa"/>
    <n v="2509.39"/>
    <n v="4"/>
    <n v="2607.48"/>
    <s v="Credit Card"/>
    <s v="Medium"/>
    <x v="44"/>
    <s v="High"/>
    <n v="25.98"/>
    <n v="25.98"/>
  </r>
  <r>
    <s v="CUST1045"/>
    <s v="North"/>
    <s v="India"/>
    <s v="Rajasthan"/>
    <n v="9435049619"/>
    <x v="2"/>
    <s v="Monitor"/>
    <n v="254.27"/>
    <n v="5"/>
    <n v="247.89"/>
    <s v="Net Banking"/>
    <s v="Low"/>
    <x v="45"/>
    <s v="Low"/>
    <n v="19.5"/>
    <n v="19.5"/>
  </r>
  <r>
    <s v="CUST1046"/>
    <s v="East"/>
    <s v="India"/>
    <s v="Uttar Pradesh"/>
    <n v="9139717689"/>
    <x v="2"/>
    <s v="Tablet"/>
    <n v="1104.23"/>
    <n v="11"/>
    <n v="1883.37"/>
    <s v="Credit Card"/>
    <s v="Medium"/>
    <x v="46"/>
    <s v="High"/>
    <n v="15.51"/>
    <n v="15.51"/>
  </r>
  <r>
    <s v="CUST1047"/>
    <s v="South"/>
    <s v="India"/>
    <s v="West Bengal"/>
    <n v="9873282041"/>
    <x v="2"/>
    <s v="Laptop"/>
    <n v="861.53"/>
    <n v="3"/>
    <n v="482.01"/>
    <s v="Debit Card"/>
    <s v="Low"/>
    <x v="47"/>
    <s v="Low"/>
    <n v="18.649999999999999"/>
    <n v="18.649999999999999"/>
  </r>
  <r>
    <s v="CUST1048"/>
    <s v="North"/>
    <s v="India"/>
    <s v="West Bengal"/>
    <n v="9520705759"/>
    <x v="0"/>
    <s v="T-shirt"/>
    <n v="940.76"/>
    <n v="4"/>
    <n v="842.47"/>
    <s v="Debit Card"/>
    <s v="Low"/>
    <x v="48"/>
    <s v="Low"/>
    <n v="22.39"/>
    <n v="22.39"/>
  </r>
  <r>
    <s v="CUST1049"/>
    <s v="East"/>
    <s v="India"/>
    <s v="West Bengal"/>
    <n v="9648648568"/>
    <x v="0"/>
    <s v="T-shirt"/>
    <n v="1505.5"/>
    <n v="11"/>
    <n v="3985.19"/>
    <s v="Debit Card"/>
    <s v="Medium"/>
    <x v="49"/>
    <s v="High"/>
    <n v="24.06"/>
    <n v="24.06"/>
  </r>
  <r>
    <s v="CUST1050"/>
    <s v="West"/>
    <s v="India"/>
    <s v="Uttar Pradesh"/>
    <n v="9416435713"/>
    <x v="0"/>
    <s v="Jeans"/>
    <n v="1477.49"/>
    <n v="11"/>
    <n v="2428.98"/>
    <s v="Credit Card"/>
    <s v="Medium"/>
    <x v="50"/>
    <s v="High"/>
    <n v="14.95"/>
    <n v="14.95"/>
  </r>
  <r>
    <s v="CUST1051"/>
    <s v="East"/>
    <s v="India"/>
    <s v="Rajasthan"/>
    <n v="9211381294"/>
    <x v="1"/>
    <s v="Chair"/>
    <n v="704.64"/>
    <n v="2"/>
    <n v="163.57"/>
    <s v="UPI"/>
    <s v="Low"/>
    <x v="51"/>
    <s v="Low"/>
    <n v="11.61"/>
    <n v="11.61"/>
  </r>
  <r>
    <s v="CUST1052"/>
    <s v="North"/>
    <s v="India"/>
    <s v="West Bengal"/>
    <n v="9791244114"/>
    <x v="1"/>
    <s v="Cupboard"/>
    <n v="2030.2"/>
    <n v="13"/>
    <n v="3695.03"/>
    <s v="Net Banking"/>
    <s v="High"/>
    <x v="52"/>
    <s v="High"/>
    <n v="14"/>
    <n v="14"/>
  </r>
  <r>
    <s v="CUST1053"/>
    <s v="West"/>
    <s v="India"/>
    <s v="Rajasthan"/>
    <n v="9194670146"/>
    <x v="0"/>
    <s v="Shirt"/>
    <n v="1822.28"/>
    <n v="4"/>
    <n v="1973.2"/>
    <s v="Cash"/>
    <s v="Low"/>
    <x v="53"/>
    <s v="Medium"/>
    <n v="27.07"/>
    <n v="27.07"/>
  </r>
  <r>
    <s v="CUST1054"/>
    <s v="North"/>
    <s v="India"/>
    <s v="Maharashtra"/>
    <n v="9519275644"/>
    <x v="1"/>
    <s v="Sofa"/>
    <n v="600.17999999999995"/>
    <n v="11"/>
    <n v="1525.57"/>
    <s v="Credit Card"/>
    <s v="Low"/>
    <x v="54"/>
    <s v="Medium"/>
    <n v="23.11"/>
    <n v="23.11"/>
  </r>
  <r>
    <s v="CUST1055"/>
    <s v="South"/>
    <s v="India"/>
    <s v="Maharashtra"/>
    <n v="9520013561"/>
    <x v="0"/>
    <s v="T-shirt"/>
    <n v="2330.36"/>
    <n v="7"/>
    <n v="3532.26"/>
    <s v="Debit Card"/>
    <s v="Medium"/>
    <x v="55"/>
    <s v="High"/>
    <n v="21.65"/>
    <n v="21.65"/>
  </r>
  <r>
    <s v="CUST1056"/>
    <s v="North"/>
    <s v="India"/>
    <s v="Gujarat"/>
    <n v="95989895092"/>
    <x v="2"/>
    <s v="Headphones"/>
    <n v="1084.67"/>
    <n v="13"/>
    <n v="4140.1400000000003"/>
    <s v="Cash"/>
    <s v="Medium"/>
    <x v="56"/>
    <s v="High"/>
    <n v="29.36"/>
    <n v="29.36"/>
  </r>
  <r>
    <s v="CUST1057"/>
    <s v="East"/>
    <s v="India"/>
    <s v="Uttar Pradesh"/>
    <n v="9499862542"/>
    <x v="1"/>
    <s v="Cupboard"/>
    <n v="1893.55"/>
    <n v="12"/>
    <n v="3204.64"/>
    <s v="Net Banking"/>
    <s v="High"/>
    <x v="57"/>
    <s v="High"/>
    <n v="14.1"/>
    <n v="14.1"/>
  </r>
  <r>
    <s v="CUST1058"/>
    <s v="North"/>
    <s v="India"/>
    <s v="Gujarat"/>
    <n v="9724136290"/>
    <x v="1"/>
    <s v="Chair"/>
    <n v="1747.22"/>
    <n v="6"/>
    <n v="2678.22"/>
    <s v="Cash"/>
    <s v="Medium"/>
    <x v="58"/>
    <s v="High"/>
    <n v="25.55"/>
    <n v="25.55"/>
  </r>
  <r>
    <s v="CUST1059"/>
    <s v="East"/>
    <s v="India"/>
    <s v="Gujarat"/>
    <n v="9321909198"/>
    <x v="1"/>
    <s v="Bookshelf"/>
    <n v="287.31"/>
    <n v="8"/>
    <n v="381.56"/>
    <s v="Debit Card"/>
    <s v="Low"/>
    <x v="59"/>
    <s v="Low"/>
    <n v="16.600000000000001"/>
    <n v="16.600000000000001"/>
  </r>
  <r>
    <s v="CUST1060"/>
    <s v="North"/>
    <s v="India"/>
    <s v="Maharashtra"/>
    <n v="9760693305"/>
    <x v="0"/>
    <s v="Shirt"/>
    <n v="1700.05"/>
    <n v="2"/>
    <n v="383.92"/>
    <s v="UPI"/>
    <s v="Low"/>
    <x v="60"/>
    <s v="Low"/>
    <n v="11.29"/>
    <n v="11.29"/>
  </r>
  <r>
    <s v="CUST1061"/>
    <s v="East"/>
    <s v="India"/>
    <s v="Gujarat"/>
    <n v="9658575570"/>
    <x v="1"/>
    <s v="Bookshelf"/>
    <n v="1180.31"/>
    <n v="7"/>
    <n v="847.73"/>
    <s v="UPI"/>
    <s v="Low"/>
    <x v="61"/>
    <s v="Medium"/>
    <n v="10.26"/>
    <n v="10.26"/>
  </r>
  <r>
    <s v="CUST1062"/>
    <s v="South"/>
    <s v="India"/>
    <s v="Gujarat"/>
    <n v="9950273824"/>
    <x v="1"/>
    <s v="Cupboard"/>
    <n v="653.35"/>
    <n v="4"/>
    <n v="345.46"/>
    <s v="Credit Card"/>
    <s v="Low"/>
    <x v="62"/>
    <s v="Low"/>
    <n v="13.22"/>
    <n v="13.22"/>
  </r>
  <r>
    <s v="CUST1063"/>
    <s v="South"/>
    <s v="India"/>
    <s v="Tamil Nadu"/>
    <n v="9898816813"/>
    <x v="2"/>
    <s v="Laptop"/>
    <n v="1881.74"/>
    <n v="4"/>
    <n v="1363.83"/>
    <s v="Debit Card"/>
    <s v="Low"/>
    <x v="63"/>
    <s v="Medium"/>
    <n v="18.12"/>
    <n v="18.12"/>
  </r>
  <r>
    <s v="CUST1064"/>
    <s v="North"/>
    <s v="India"/>
    <s v="Rajasthan"/>
    <n v="9571594565"/>
    <x v="1"/>
    <s v="Table"/>
    <n v="1206.3499999999999"/>
    <n v="15"/>
    <n v="2801.82"/>
    <s v="UPI"/>
    <s v="Medium"/>
    <x v="64"/>
    <s v="High"/>
    <n v="15.48"/>
    <n v="15.48"/>
  </r>
  <r>
    <s v="CUST1065"/>
    <s v="South"/>
    <s v="India"/>
    <s v="Maharashtra"/>
    <n v="9684352160"/>
    <x v="0"/>
    <s v="Jacket"/>
    <n v="1849.95"/>
    <n v="5"/>
    <n v="2111.02"/>
    <s v="Debit Card"/>
    <s v="Low"/>
    <x v="65"/>
    <s v="Medium"/>
    <n v="22.82"/>
    <n v="22.82"/>
  </r>
  <r>
    <s v="CUST1066"/>
    <s v="West"/>
    <s v="India"/>
    <s v="West Bengal"/>
    <n v="9845713875"/>
    <x v="2"/>
    <s v="Tablet"/>
    <n v="1896.1"/>
    <n v="5"/>
    <n v="2676.46"/>
    <s v="Debit Card"/>
    <s v="Low"/>
    <x v="66"/>
    <s v="Medium"/>
    <n v="28.23"/>
    <n v="28.23"/>
  </r>
  <r>
    <s v="CUST1067"/>
    <s v="South"/>
    <s v="India"/>
    <s v="Tamil Nadu"/>
    <n v="85"/>
    <x v="1"/>
    <s v="Bookshelf"/>
    <n v="1799.6"/>
    <n v="6"/>
    <n v="1551.79"/>
    <s v="Cash"/>
    <s v="Medium"/>
    <x v="67"/>
    <s v="High"/>
    <n v="14.37"/>
    <n v="14.37"/>
  </r>
  <r>
    <s v="CUST1068"/>
    <s v="North"/>
    <s v="India"/>
    <s v="Karnataka"/>
    <n v="9304184751"/>
    <x v="1"/>
    <s v="Cupboard"/>
    <n v="1330.26"/>
    <n v="2"/>
    <n v="669.54"/>
    <s v="Credit Card"/>
    <s v="Low"/>
    <x v="68"/>
    <s v="Low"/>
    <n v="25.17"/>
    <n v="25.17"/>
  </r>
  <r>
    <s v="CUST1069"/>
    <s v="North"/>
    <s v="India"/>
    <s v="Rajasthan"/>
    <n v="9141039856"/>
    <x v="2"/>
    <s v="Smartphone"/>
    <n v="322.57"/>
    <n v="13"/>
    <n v="684.45"/>
    <s v="Debit Card"/>
    <s v="Low"/>
    <x v="69"/>
    <s v="Low"/>
    <n v="16.32"/>
    <n v="16.32"/>
  </r>
  <r>
    <s v="CUST1070"/>
    <s v="East"/>
    <s v="India"/>
    <s v="Tamil Nadu"/>
    <n v="9640589740"/>
    <x v="2"/>
    <s v="Tablet"/>
    <n v="1510.41"/>
    <n v="1"/>
    <n v="434.79"/>
    <s v="Net Banking"/>
    <s v="Low"/>
    <x v="70"/>
    <s v="Low"/>
    <n v="28.79"/>
    <n v="28.79"/>
  </r>
  <r>
    <s v="CUST1071"/>
    <s v="South"/>
    <s v="India"/>
    <s v="Karnataka"/>
    <n v="9406517796"/>
    <x v="0"/>
    <s v="Dress"/>
    <n v="1085.52"/>
    <n v="4"/>
    <n v="749.57"/>
    <s v="Credit Card"/>
    <s v="Low"/>
    <x v="71"/>
    <s v="Low"/>
    <n v="17.260000000000002"/>
    <n v="17.260000000000002"/>
  </r>
  <r>
    <s v="CUST1072"/>
    <s v="South"/>
    <s v="India"/>
    <s v="Maharashtra"/>
    <n v="9606169051"/>
    <x v="1"/>
    <s v="Table"/>
    <n v="1441.79"/>
    <n v="14"/>
    <n v="3929.03"/>
    <s v="Debit Card"/>
    <s v="High"/>
    <x v="72"/>
    <s v="High"/>
    <n v="19.47"/>
    <n v="19.47"/>
  </r>
  <r>
    <s v="CUST1073"/>
    <s v="North"/>
    <s v="India"/>
    <s v="Rajasthan"/>
    <n v="9350461925"/>
    <x v="1"/>
    <s v="Cupboard"/>
    <n v="686.64"/>
    <n v="8"/>
    <n v="878.07"/>
    <s v="Credit Card"/>
    <s v="Low"/>
    <x v="73"/>
    <s v="Medium"/>
    <n v="15.98"/>
    <n v="15.98"/>
  </r>
  <r>
    <s v="CUST1074"/>
    <s v="West"/>
    <s v="India"/>
    <s v="West Bengal"/>
    <n v="9996467468"/>
    <x v="0"/>
    <s v="Dress"/>
    <n v="2830.64"/>
    <n v="6"/>
    <n v="1830.75"/>
    <s v="Credit Card"/>
    <s v="Medium"/>
    <x v="74"/>
    <s v="High"/>
    <n v="10.78"/>
    <n v="10.78"/>
  </r>
  <r>
    <s v="CUST1075"/>
    <s v="West"/>
    <s v="India"/>
    <s v="Rajasthan"/>
    <n v="9128345710"/>
    <x v="2"/>
    <s v="Headphones"/>
    <n v="2619.08"/>
    <n v="6"/>
    <n v="4245.2299999999996"/>
    <s v="Net Banking"/>
    <s v="Medium"/>
    <x v="75"/>
    <s v="High"/>
    <n v="27.01"/>
    <n v="27.01"/>
  </r>
  <r>
    <s v="CUST1076"/>
    <s v="East"/>
    <s v="India"/>
    <s v="Gujarat"/>
    <n v="9392055351"/>
    <x v="0"/>
    <s v="Jeans"/>
    <n v="503.93"/>
    <n v="11"/>
    <n v="1183.48"/>
    <s v="Cash"/>
    <s v="Low"/>
    <x v="76"/>
    <s v="Medium"/>
    <n v="21.35"/>
    <n v="21.35"/>
  </r>
  <r>
    <s v="CUST1077"/>
    <s v="South"/>
    <s v="India"/>
    <s v="Tamil Nadu"/>
    <n v="9980141994"/>
    <x v="1"/>
    <s v="Bookshelf"/>
    <n v="467.71"/>
    <n v="12"/>
    <n v="1223.23"/>
    <s v="Credit Card"/>
    <s v="Low"/>
    <x v="77"/>
    <s v="Medium"/>
    <n v="21.79"/>
    <n v="21.79"/>
  </r>
  <r>
    <s v="CUST1078"/>
    <s v="West"/>
    <s v="India"/>
    <s v="Maharashtra"/>
    <n v="9403999543"/>
    <x v="1"/>
    <s v="Chair"/>
    <n v="2307.34"/>
    <n v="14"/>
    <n v="3571.15"/>
    <s v="Debit Card"/>
    <s v="High"/>
    <x v="78"/>
    <s v="High"/>
    <n v="11.06"/>
    <n v="11.06"/>
  </r>
  <r>
    <s v="CUST1079"/>
    <s v="North"/>
    <s v="India"/>
    <s v="Uttar Pradesh"/>
    <n v="9164427200"/>
    <x v="2"/>
    <s v="Tablet"/>
    <n v="1513.57"/>
    <n v="14"/>
    <n v="5761.18"/>
    <s v="Credit Card"/>
    <s v="High"/>
    <x v="79"/>
    <s v="High"/>
    <n v="27.19"/>
    <n v="27.19"/>
  </r>
  <r>
    <s v="CUST1080"/>
    <s v="North"/>
    <s v="India"/>
    <s v="Maharashtra"/>
    <n v="858947"/>
    <x v="1"/>
    <s v="Cupboard"/>
    <n v="2213.4499999999998"/>
    <n v="3"/>
    <n v="867.33"/>
    <s v="Debit Card"/>
    <s v="Low"/>
    <x v="80"/>
    <s v="Medium"/>
    <n v="13.06"/>
    <n v="13.06"/>
  </r>
  <r>
    <s v="CUST1081"/>
    <s v="South"/>
    <s v="India"/>
    <s v="Tamil Nadu"/>
    <n v="9789825611"/>
    <x v="0"/>
    <s v="Dress"/>
    <n v="384.21"/>
    <n v="5"/>
    <n v="354.16"/>
    <s v="Debit Card"/>
    <s v="Low"/>
    <x v="81"/>
    <s v="Low"/>
    <n v="18.440000000000001"/>
    <n v="18.440000000000001"/>
  </r>
  <r>
    <s v="CUST1082"/>
    <s v="East"/>
    <s v="India"/>
    <s v="Maharashtra"/>
    <n v="9371462183"/>
    <x v="2"/>
    <s v="Headphones"/>
    <n v="498.41"/>
    <n v="7"/>
    <n v="435.36"/>
    <s v="UPI"/>
    <s v="Low"/>
    <x v="82"/>
    <s v="Low"/>
    <n v="12.48"/>
    <n v="12.48"/>
  </r>
  <r>
    <s v="CUST1083"/>
    <s v="North"/>
    <s v="India"/>
    <s v="Maharashtra"/>
    <n v="9444893207"/>
    <x v="0"/>
    <s v="Dress"/>
    <n v="1599.24"/>
    <n v="10"/>
    <n v="4368.75"/>
    <s v="UPI"/>
    <s v="Medium"/>
    <x v="83"/>
    <s v="High"/>
    <n v="27.32"/>
    <n v="27.32"/>
  </r>
  <r>
    <s v="CUST1084"/>
    <s v="West"/>
    <s v="India"/>
    <s v="Rajasthan"/>
    <n v="9339358166"/>
    <x v="1"/>
    <s v="Sofa"/>
    <n v="962.07"/>
    <n v="9"/>
    <n v="905.89"/>
    <s v="UPI"/>
    <s v="Low"/>
    <x v="84"/>
    <s v="Medium"/>
    <n v="10.46"/>
    <n v="10.46"/>
  </r>
  <r>
    <s v="CUST1085"/>
    <s v="West"/>
    <s v="India"/>
    <s v="West Bengal"/>
    <n v="9119201960"/>
    <x v="1"/>
    <s v="Bookshelf"/>
    <n v="1673.22"/>
    <n v="7"/>
    <n v="1935.04"/>
    <s v="Debit Card"/>
    <s v="Medium"/>
    <x v="85"/>
    <s v="High"/>
    <n v="16.52"/>
    <n v="16.52"/>
  </r>
  <r>
    <s v="CUST1086"/>
    <s v="West"/>
    <s v="India"/>
    <s v="Tamil Nadu"/>
    <n v="9161700373"/>
    <x v="0"/>
    <s v="T-shirt"/>
    <n v="791.24"/>
    <n v="4"/>
    <n v="366.17"/>
    <s v="UPI"/>
    <s v="Low"/>
    <x v="86"/>
    <s v="Low"/>
    <n v="11.57"/>
    <n v="11.57"/>
  </r>
  <r>
    <s v="CUST1087"/>
    <s v="South"/>
    <s v="India"/>
    <s v="Uttar Pradesh"/>
    <n v="9242580997"/>
    <x v="0"/>
    <s v="Jeans"/>
    <n v="1210.8599999999999"/>
    <n v="3"/>
    <n v="698.75"/>
    <s v="UPI"/>
    <s v="Low"/>
    <x v="87"/>
    <s v="Low"/>
    <n v="19.239999999999998"/>
    <n v="19.239999999999998"/>
  </r>
  <r>
    <s v="CUST1088"/>
    <s v="North"/>
    <s v="India"/>
    <s v="Gujarat"/>
    <n v="9370714466"/>
    <x v="0"/>
    <s v="T-shirt"/>
    <n v="619.57000000000005"/>
    <n v="7"/>
    <n v="562.75"/>
    <s v="UPI"/>
    <s v="Low"/>
    <x v="88"/>
    <s v="Low"/>
    <n v="12.98"/>
    <n v="12.98"/>
  </r>
  <r>
    <s v="CUST1089"/>
    <s v="West"/>
    <s v="India"/>
    <s v="Maharashtra"/>
    <n v="9427647839"/>
    <x v="2"/>
    <s v="Monitor"/>
    <n v="308.5"/>
    <n v="15"/>
    <n v="802.96"/>
    <s v="Credit Card"/>
    <s v="Low"/>
    <x v="89"/>
    <s v="Low"/>
    <n v="17.350000000000001"/>
    <n v="17.350000000000001"/>
  </r>
  <r>
    <s v="CUST1090"/>
    <s v="East"/>
    <s v="India"/>
    <s v="Maharashtra"/>
    <n v="9942075195"/>
    <x v="0"/>
    <s v="Dress"/>
    <n v="1853.37"/>
    <n v="5"/>
    <n v="1661.2"/>
    <s v="Credit Card"/>
    <s v="Low"/>
    <x v="90"/>
    <s v="Medium"/>
    <n v="17.93"/>
    <n v="17.93"/>
  </r>
  <r>
    <s v="CUST1091"/>
    <s v="South"/>
    <s v="India"/>
    <s v="Rajasthan"/>
    <n v="9857569233"/>
    <x v="0"/>
    <s v="Jacket"/>
    <n v="2501.48"/>
    <n v="6"/>
    <n v="4142.5200000000004"/>
    <s v="Net Banking"/>
    <s v="Medium"/>
    <x v="91"/>
    <s v="High"/>
    <n v="27.6"/>
    <n v="27.6"/>
  </r>
  <r>
    <s v="CUST1092"/>
    <s v="South"/>
    <s v="India"/>
    <s v="Karnataka"/>
    <n v="9944969047"/>
    <x v="2"/>
    <s v="Laptop"/>
    <n v="2596.13"/>
    <n v="5"/>
    <n v="1453.33"/>
    <s v="Net Banking"/>
    <s v="Medium"/>
    <x v="92"/>
    <s v="High"/>
    <n v="11.2"/>
    <n v="11.2"/>
  </r>
  <r>
    <s v="CUST1093"/>
    <s v="West"/>
    <s v="India"/>
    <s v="West Bengal"/>
    <n v="56428436"/>
    <x v="2"/>
    <s v="Headphones"/>
    <n v="2209.52"/>
    <n v="6"/>
    <n v="3760.49"/>
    <s v="Net Banking"/>
    <s v="Medium"/>
    <x v="93"/>
    <s v="High"/>
    <n v="28.37"/>
    <n v="28.37"/>
  </r>
  <r>
    <s v="CUST1094"/>
    <s v="East"/>
    <s v="India"/>
    <s v="Gujarat"/>
    <n v="9705241364"/>
    <x v="1"/>
    <s v="Sofa"/>
    <n v="458.7"/>
    <n v="7"/>
    <n v="839.97"/>
    <s v="Net Banking"/>
    <s v="Low"/>
    <x v="94"/>
    <s v="Low"/>
    <n v="26.16"/>
    <n v="26.16"/>
  </r>
  <r>
    <s v="CUST1095"/>
    <s v="East"/>
    <s v="India"/>
    <s v="Karnataka"/>
    <n v="9245776255"/>
    <x v="0"/>
    <s v="Jeans"/>
    <n v="833.16"/>
    <n v="12"/>
    <n v="2135.63"/>
    <s v="Net Banking"/>
    <s v="Low"/>
    <x v="95"/>
    <s v="Medium"/>
    <n v="21.36"/>
    <n v="21.36"/>
  </r>
  <r>
    <s v="CUST1096"/>
    <s v="East"/>
    <s v="India"/>
    <s v="Uttar Pradesh"/>
    <n v="9881212856"/>
    <x v="0"/>
    <s v="Jeans"/>
    <n v="238.37"/>
    <n v="13"/>
    <n v="586.94000000000005"/>
    <s v="Net Banking"/>
    <s v="Low"/>
    <x v="96"/>
    <s v="Low"/>
    <n v="18.940000000000001"/>
    <n v="18.940000000000001"/>
  </r>
  <r>
    <s v="CUST1097"/>
    <s v="West"/>
    <s v="India"/>
    <s v="Gujarat"/>
    <n v="9916091858"/>
    <x v="0"/>
    <s v="Dress"/>
    <n v="820.05"/>
    <n v="3"/>
    <n v="419.41"/>
    <s v="UPI"/>
    <s v="Low"/>
    <x v="97"/>
    <s v="Low"/>
    <n v="17.05"/>
    <n v="17.05"/>
  </r>
  <r>
    <s v="CUST1098"/>
    <s v="North"/>
    <s v="India"/>
    <s v="Karnataka"/>
    <n v="9425191872"/>
    <x v="2"/>
    <s v="Headphones"/>
    <n v="2716.33"/>
    <n v="8"/>
    <n v="5513.14"/>
    <s v="Net Banking"/>
    <s v="High"/>
    <x v="98"/>
    <s v="High"/>
    <n v="25.37"/>
    <n v="25.37"/>
  </r>
  <r>
    <s v="CUST1099"/>
    <s v="North"/>
    <s v="India"/>
    <s v="Uttar Pradesh"/>
    <n v="9459337548"/>
    <x v="0"/>
    <s v="Jacket"/>
    <n v="1918.81"/>
    <n v="1"/>
    <n v="442.75"/>
    <s v="Cash"/>
    <s v="Low"/>
    <x v="99"/>
    <s v="Low"/>
    <n v="23.07"/>
    <n v="23.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725CC1-4B89-4D56-BD6E-2D3546505EB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207" firstHeaderRow="1" firstDataRow="1" firstDataCol="1"/>
  <pivotFields count="10">
    <pivotField showAll="0"/>
    <pivotField numFmtId="14" showAll="0"/>
    <pivotField axis="axisRow" showAll="0" sortType="ascending">
      <items count="9">
        <item x="5"/>
        <item x="3"/>
        <item x="6"/>
        <item x="4"/>
        <item x="0"/>
        <item x="7"/>
        <item x="1"/>
        <item x="2"/>
        <item t="default"/>
      </items>
    </pivotField>
    <pivotField axis="axisRow" showAll="0">
      <items count="6">
        <item x="2"/>
        <item x="1"/>
        <item x="3"/>
        <item x="0"/>
        <item x="4"/>
        <item t="default"/>
      </items>
    </pivotField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  <pivotField dataField="1" showAll="0">
      <items count="7">
        <item x="0"/>
        <item x="5"/>
        <item x="3"/>
        <item x="1"/>
        <item x="2"/>
        <item x="4"/>
        <item t="default"/>
      </items>
    </pivotField>
  </pivotFields>
  <rowFields count="4">
    <field x="2"/>
    <field x="7"/>
    <field x="3"/>
    <field x="5"/>
  </rowFields>
  <rowItems count="206">
    <i>
      <x/>
    </i>
    <i r="1">
      <x/>
    </i>
    <i r="2">
      <x v="1"/>
    </i>
    <i r="3">
      <x v="3"/>
    </i>
    <i r="1">
      <x v="1"/>
    </i>
    <i r="2">
      <x v="2"/>
    </i>
    <i r="3">
      <x/>
    </i>
    <i r="2">
      <x v="3"/>
    </i>
    <i r="3">
      <x v="2"/>
    </i>
    <i r="3">
      <x v="3"/>
    </i>
    <i r="1">
      <x v="2"/>
    </i>
    <i r="2">
      <x/>
    </i>
    <i r="3">
      <x v="3"/>
    </i>
    <i r="2">
      <x v="1"/>
    </i>
    <i r="3">
      <x v="3"/>
    </i>
    <i r="1">
      <x v="3"/>
    </i>
    <i r="2">
      <x v="1"/>
    </i>
    <i r="3">
      <x/>
    </i>
    <i r="2">
      <x v="4"/>
    </i>
    <i r="3">
      <x/>
    </i>
    <i r="3">
      <x v="3"/>
    </i>
    <i>
      <x v="1"/>
    </i>
    <i r="1">
      <x/>
    </i>
    <i r="2">
      <x/>
    </i>
    <i r="3">
      <x/>
    </i>
    <i r="2">
      <x v="1"/>
    </i>
    <i r="3">
      <x/>
    </i>
    <i r="2">
      <x v="2"/>
    </i>
    <i r="3">
      <x v="2"/>
    </i>
    <i r="1">
      <x v="1"/>
    </i>
    <i r="2">
      <x/>
    </i>
    <i r="3">
      <x/>
    </i>
    <i r="3">
      <x v="2"/>
    </i>
    <i r="3">
      <x v="3"/>
    </i>
    <i r="2">
      <x v="3"/>
    </i>
    <i r="3">
      <x v="3"/>
    </i>
    <i r="2">
      <x v="4"/>
    </i>
    <i r="3">
      <x v="1"/>
    </i>
    <i r="1">
      <x v="2"/>
    </i>
    <i r="2">
      <x/>
    </i>
    <i r="3">
      <x/>
    </i>
    <i r="2">
      <x v="3"/>
    </i>
    <i r="3">
      <x v="1"/>
    </i>
    <i r="3">
      <x v="3"/>
    </i>
    <i r="1">
      <x v="3"/>
    </i>
    <i r="2">
      <x v="3"/>
    </i>
    <i r="3">
      <x v="3"/>
    </i>
    <i r="2">
      <x v="4"/>
    </i>
    <i r="3">
      <x v="2"/>
    </i>
    <i>
      <x v="2"/>
    </i>
    <i r="1">
      <x/>
    </i>
    <i r="2">
      <x/>
    </i>
    <i r="3">
      <x v="2"/>
    </i>
    <i r="2">
      <x v="4"/>
    </i>
    <i r="3">
      <x/>
    </i>
    <i r="3">
      <x v="2"/>
    </i>
    <i r="1">
      <x v="1"/>
    </i>
    <i r="2">
      <x v="2"/>
    </i>
    <i r="3">
      <x/>
    </i>
    <i r="3">
      <x v="1"/>
    </i>
    <i r="1">
      <x v="2"/>
    </i>
    <i r="2">
      <x v="4"/>
    </i>
    <i r="3">
      <x v="1"/>
    </i>
    <i r="1">
      <x v="3"/>
    </i>
    <i r="2">
      <x/>
    </i>
    <i r="3">
      <x/>
    </i>
    <i r="3">
      <x v="2"/>
    </i>
    <i r="2">
      <x v="1"/>
    </i>
    <i r="3">
      <x v="2"/>
    </i>
    <i r="2">
      <x v="3"/>
    </i>
    <i r="3">
      <x v="1"/>
    </i>
    <i>
      <x v="3"/>
    </i>
    <i r="1">
      <x/>
    </i>
    <i r="2">
      <x/>
    </i>
    <i r="3">
      <x v="2"/>
    </i>
    <i r="2">
      <x v="2"/>
    </i>
    <i r="3">
      <x v="3"/>
    </i>
    <i r="1">
      <x v="1"/>
    </i>
    <i r="2">
      <x/>
    </i>
    <i r="3">
      <x v="2"/>
    </i>
    <i r="1">
      <x v="2"/>
    </i>
    <i r="2">
      <x v="1"/>
    </i>
    <i r="3">
      <x v="2"/>
    </i>
    <i r="1">
      <x v="3"/>
    </i>
    <i r="2">
      <x/>
    </i>
    <i r="3">
      <x v="1"/>
    </i>
    <i r="2">
      <x v="1"/>
    </i>
    <i r="3">
      <x/>
    </i>
    <i r="2">
      <x v="3"/>
    </i>
    <i r="3">
      <x v="2"/>
    </i>
    <i r="2">
      <x v="4"/>
    </i>
    <i r="3">
      <x v="3"/>
    </i>
    <i>
      <x v="4"/>
    </i>
    <i r="1">
      <x/>
    </i>
    <i r="2">
      <x/>
    </i>
    <i r="3">
      <x v="1"/>
    </i>
    <i r="3">
      <x v="3"/>
    </i>
    <i r="2">
      <x v="1"/>
    </i>
    <i r="3">
      <x/>
    </i>
    <i r="2">
      <x v="2"/>
    </i>
    <i r="3">
      <x v="1"/>
    </i>
    <i r="2">
      <x v="3"/>
    </i>
    <i r="3">
      <x v="2"/>
    </i>
    <i r="2">
      <x v="4"/>
    </i>
    <i r="3">
      <x v="3"/>
    </i>
    <i r="1">
      <x v="1"/>
    </i>
    <i r="2">
      <x/>
    </i>
    <i r="3">
      <x/>
    </i>
    <i r="2">
      <x v="1"/>
    </i>
    <i r="3">
      <x v="1"/>
    </i>
    <i r="1">
      <x v="2"/>
    </i>
    <i r="2">
      <x v="1"/>
    </i>
    <i r="3">
      <x v="3"/>
    </i>
    <i r="2">
      <x v="2"/>
    </i>
    <i r="3">
      <x v="3"/>
    </i>
    <i r="2">
      <x v="3"/>
    </i>
    <i r="3">
      <x/>
    </i>
    <i r="3">
      <x v="1"/>
    </i>
    <i r="1">
      <x v="3"/>
    </i>
    <i r="2">
      <x/>
    </i>
    <i r="3">
      <x v="3"/>
    </i>
    <i r="2">
      <x v="3"/>
    </i>
    <i r="3">
      <x/>
    </i>
    <i r="3">
      <x v="1"/>
    </i>
    <i>
      <x v="5"/>
    </i>
    <i r="1">
      <x/>
    </i>
    <i r="2">
      <x/>
    </i>
    <i r="3">
      <x/>
    </i>
    <i r="2">
      <x v="4"/>
    </i>
    <i r="3">
      <x v="1"/>
    </i>
    <i r="1">
      <x v="1"/>
    </i>
    <i r="2">
      <x/>
    </i>
    <i r="3">
      <x/>
    </i>
    <i r="3">
      <x v="1"/>
    </i>
    <i r="2">
      <x v="3"/>
    </i>
    <i r="3">
      <x/>
    </i>
    <i r="1">
      <x v="2"/>
    </i>
    <i r="2">
      <x/>
    </i>
    <i r="3">
      <x/>
    </i>
    <i r="2">
      <x v="1"/>
    </i>
    <i r="3">
      <x/>
    </i>
    <i r="2">
      <x v="3"/>
    </i>
    <i r="3">
      <x v="3"/>
    </i>
    <i r="2">
      <x v="4"/>
    </i>
    <i r="3">
      <x v="2"/>
    </i>
    <i r="3">
      <x v="3"/>
    </i>
    <i r="1">
      <x v="3"/>
    </i>
    <i r="2">
      <x/>
    </i>
    <i r="3">
      <x/>
    </i>
    <i r="2">
      <x v="2"/>
    </i>
    <i r="3">
      <x v="2"/>
    </i>
    <i r="2">
      <x v="3"/>
    </i>
    <i r="3">
      <x v="2"/>
    </i>
    <i>
      <x v="6"/>
    </i>
    <i r="1">
      <x/>
    </i>
    <i r="2">
      <x v="1"/>
    </i>
    <i r="3">
      <x v="1"/>
    </i>
    <i r="2">
      <x v="3"/>
    </i>
    <i r="3">
      <x v="3"/>
    </i>
    <i r="1">
      <x v="1"/>
    </i>
    <i r="2">
      <x/>
    </i>
    <i r="3">
      <x v="2"/>
    </i>
    <i r="2">
      <x v="1"/>
    </i>
    <i r="3">
      <x/>
    </i>
    <i r="3">
      <x v="1"/>
    </i>
    <i r="3">
      <x v="3"/>
    </i>
    <i r="1">
      <x v="2"/>
    </i>
    <i r="2">
      <x/>
    </i>
    <i r="3">
      <x v="2"/>
    </i>
    <i r="2">
      <x v="2"/>
    </i>
    <i r="3">
      <x v="2"/>
    </i>
    <i r="3">
      <x v="3"/>
    </i>
    <i r="2">
      <x v="3"/>
    </i>
    <i r="3">
      <x v="1"/>
    </i>
    <i r="1">
      <x v="3"/>
    </i>
    <i r="2">
      <x/>
    </i>
    <i r="3">
      <x v="2"/>
    </i>
    <i r="2">
      <x v="1"/>
    </i>
    <i r="3">
      <x/>
    </i>
    <i r="2">
      <x v="3"/>
    </i>
    <i r="3">
      <x/>
    </i>
    <i>
      <x v="7"/>
    </i>
    <i r="1">
      <x/>
    </i>
    <i r="2">
      <x/>
    </i>
    <i r="3">
      <x v="1"/>
    </i>
    <i r="2">
      <x v="1"/>
    </i>
    <i r="3">
      <x/>
    </i>
    <i r="2">
      <x v="2"/>
    </i>
    <i r="3">
      <x/>
    </i>
    <i r="3">
      <x v="3"/>
    </i>
    <i r="2">
      <x v="3"/>
    </i>
    <i r="3">
      <x v="2"/>
    </i>
    <i r="1">
      <x v="1"/>
    </i>
    <i r="2">
      <x/>
    </i>
    <i r="3">
      <x v="3"/>
    </i>
    <i r="2">
      <x v="4"/>
    </i>
    <i r="3">
      <x v="3"/>
    </i>
    <i r="1">
      <x v="2"/>
    </i>
    <i r="2">
      <x v="1"/>
    </i>
    <i r="3">
      <x/>
    </i>
    <i r="1">
      <x v="3"/>
    </i>
    <i r="2">
      <x v="3"/>
    </i>
    <i r="3">
      <x v="2"/>
    </i>
    <i r="2">
      <x v="4"/>
    </i>
    <i r="3">
      <x v="1"/>
    </i>
    <i t="grand">
      <x/>
    </i>
  </rowItems>
  <colItems count="1">
    <i/>
  </colItems>
  <dataFields count="1">
    <dataField name="Sum of Casualties" fld="9" baseField="0" baseItem="0"/>
  </dataFields>
  <chartFormats count="92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2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3"/>
          </reference>
          <reference field="7" count="1" selected="0">
            <x v="0"/>
          </reference>
        </references>
      </pivotArea>
    </chartFormat>
    <chartFormat chart="0" format="33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34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5" count="1" selected="0">
            <x v="2"/>
          </reference>
          <reference field="7" count="1" selected="0">
            <x v="1"/>
          </reference>
        </references>
      </pivotArea>
    </chartFormat>
    <chartFormat chart="0" format="35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5" count="1" selected="0">
            <x v="3"/>
          </reference>
          <reference field="7" count="1" selected="0">
            <x v="1"/>
          </reference>
        </references>
      </pivotArea>
    </chartFormat>
    <chartFormat chart="0" format="36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37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38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39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40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5" count="1" selected="0">
            <x v="3"/>
          </reference>
          <reference field="7" count="1" selected="0">
            <x v="3"/>
          </reference>
        </references>
      </pivotArea>
    </chartFormat>
    <chartFormat chart="0" format="41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42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43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5" count="1" selected="0">
            <x v="2"/>
          </reference>
          <reference field="7" count="1" selected="0">
            <x v="0"/>
          </reference>
        </references>
      </pivotArea>
    </chartFormat>
    <chartFormat chart="0" format="44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45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1"/>
          </reference>
        </references>
      </pivotArea>
    </chartFormat>
    <chartFormat chart="0" format="46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3"/>
          </reference>
          <reference field="7" count="1" selected="0">
            <x v="1"/>
          </reference>
        </references>
      </pivotArea>
    </chartFormat>
    <chartFormat chart="0" format="47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  <reference field="5" count="1" selected="0">
            <x v="3"/>
          </reference>
          <reference field="7" count="1" selected="0">
            <x v="1"/>
          </reference>
        </references>
      </pivotArea>
    </chartFormat>
    <chartFormat chart="0" format="48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4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49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50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51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52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  <reference field="5" count="1" selected="0">
            <x v="3"/>
          </reference>
          <reference field="7" count="1" selected="0">
            <x v="3"/>
          </reference>
        </references>
      </pivotArea>
    </chartFormat>
    <chartFormat chart="0" format="53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4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54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0"/>
          </reference>
        </references>
      </pivotArea>
    </chartFormat>
    <chartFormat chart="0" format="55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56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5" count="1" selected="0">
            <x v="2"/>
          </reference>
          <reference field="7" count="1" selected="0">
            <x v="0"/>
          </reference>
        </references>
      </pivotArea>
    </chartFormat>
    <chartFormat chart="0" format="57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2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58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2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59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60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61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62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1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63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  <reference field="5" count="1" selected="0">
            <x v="1"/>
          </reference>
          <reference field="7" count="1" selected="0">
            <x v="3"/>
          </reference>
        </references>
      </pivotArea>
    </chartFormat>
    <chartFormat chart="0" format="64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0"/>
          </reference>
        </references>
      </pivotArea>
    </chartFormat>
    <chartFormat chart="0" format="65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2"/>
          </reference>
          <reference field="5" count="1" selected="0">
            <x v="3"/>
          </reference>
          <reference field="7" count="1" selected="0">
            <x v="0"/>
          </reference>
        </references>
      </pivotArea>
    </chartFormat>
    <chartFormat chart="0" format="66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1"/>
          </reference>
        </references>
      </pivotArea>
    </chartFormat>
    <chartFormat chart="0" format="67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1"/>
          </reference>
          <reference field="5" count="1" selected="0">
            <x v="2"/>
          </reference>
          <reference field="7" count="1" selected="0">
            <x v="2"/>
          </reference>
        </references>
      </pivotArea>
    </chartFormat>
    <chartFormat chart="0" format="68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0"/>
          </reference>
          <reference field="5" count="1" selected="0">
            <x v="1"/>
          </reference>
          <reference field="7" count="1" selected="0">
            <x v="3"/>
          </reference>
        </references>
      </pivotArea>
    </chartFormat>
    <chartFormat chart="0" format="69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70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3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71">
      <pivotArea type="data" outline="0" fieldPosition="0">
        <references count="5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  <reference field="5" count="1" selected="0">
            <x v="3"/>
          </reference>
          <reference field="7" count="1" selected="0">
            <x v="3"/>
          </reference>
        </references>
      </pivotArea>
    </chartFormat>
    <chartFormat chart="0" format="72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73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0"/>
          </reference>
          <reference field="5" count="1" selected="0">
            <x v="3"/>
          </reference>
          <reference field="7" count="1" selected="0">
            <x v="0"/>
          </reference>
        </references>
      </pivotArea>
    </chartFormat>
    <chartFormat chart="0" format="74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75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2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76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3"/>
          </reference>
          <reference field="5" count="1" selected="0">
            <x v="2"/>
          </reference>
          <reference field="7" count="1" selected="0">
            <x v="0"/>
          </reference>
        </references>
      </pivotArea>
    </chartFormat>
    <chartFormat chart="0" format="77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4"/>
          </reference>
          <reference field="5" count="1" selected="0">
            <x v="3"/>
          </reference>
          <reference field="7" count="1" selected="0">
            <x v="0"/>
          </reference>
        </references>
      </pivotArea>
    </chartFormat>
    <chartFormat chart="0" format="78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79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1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80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1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81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2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82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3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83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3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84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0"/>
          </reference>
          <reference field="5" count="1" selected="0">
            <x v="3"/>
          </reference>
          <reference field="7" count="1" selected="0">
            <x v="3"/>
          </reference>
        </references>
      </pivotArea>
    </chartFormat>
    <chartFormat chart="0" format="85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3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86">
      <pivotArea type="data" outline="0" fieldPosition="0">
        <references count="5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3"/>
          </reference>
          <reference field="5" count="1" selected="0">
            <x v="1"/>
          </reference>
          <reference field="7" count="1" selected="0">
            <x v="3"/>
          </reference>
        </references>
      </pivotArea>
    </chartFormat>
    <chartFormat chart="0" format="87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88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4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89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90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91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3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92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93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94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3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95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4"/>
          </reference>
          <reference field="5" count="1" selected="0">
            <x v="2"/>
          </reference>
          <reference field="7" count="1" selected="0">
            <x v="2"/>
          </reference>
        </references>
      </pivotArea>
    </chartFormat>
    <chartFormat chart="0" format="96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4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97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98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2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99">
      <pivotArea type="data" outline="0" fieldPosition="0">
        <references count="5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3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100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101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3"/>
          </reference>
          <reference field="5" count="1" selected="0">
            <x v="3"/>
          </reference>
          <reference field="7" count="1" selected="0">
            <x v="0"/>
          </reference>
        </references>
      </pivotArea>
    </chartFormat>
    <chartFormat chart="0" format="102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1"/>
          </reference>
        </references>
      </pivotArea>
    </chartFormat>
    <chartFormat chart="0" format="103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104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105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"/>
          </reference>
          <reference field="5" count="1" selected="0">
            <x v="3"/>
          </reference>
          <reference field="7" count="1" selected="0">
            <x v="1"/>
          </reference>
        </references>
      </pivotArea>
    </chartFormat>
    <chartFormat chart="0" format="106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2"/>
          </reference>
        </references>
      </pivotArea>
    </chartFormat>
    <chartFormat chart="0" format="107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2"/>
          </reference>
          <reference field="5" count="1" selected="0">
            <x v="2"/>
          </reference>
          <reference field="7" count="1" selected="0">
            <x v="2"/>
          </reference>
        </references>
      </pivotArea>
    </chartFormat>
    <chartFormat chart="0" format="108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2"/>
          </reference>
          <reference field="5" count="1" selected="0">
            <x v="3"/>
          </reference>
          <reference field="7" count="1" selected="0">
            <x v="2"/>
          </reference>
        </references>
      </pivotArea>
    </chartFormat>
    <chartFormat chart="0" format="109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3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110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0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111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112">
      <pivotArea type="data" outline="0" fieldPosition="0">
        <references count="5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3"/>
          </reference>
          <reference field="5" count="1" selected="0">
            <x v="0"/>
          </reference>
          <reference field="7" count="1" selected="0">
            <x v="3"/>
          </reference>
        </references>
      </pivotArea>
    </chartFormat>
    <chartFormat chart="0" format="113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114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115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2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116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2"/>
          </reference>
          <reference field="5" count="1" selected="0">
            <x v="3"/>
          </reference>
          <reference field="7" count="1" selected="0">
            <x v="0"/>
          </reference>
        </references>
      </pivotArea>
    </chartFormat>
    <chartFormat chart="0" format="117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3"/>
          </reference>
          <reference field="5" count="1" selected="0">
            <x v="2"/>
          </reference>
          <reference field="7" count="1" selected="0">
            <x v="0"/>
          </reference>
        </references>
      </pivotArea>
    </chartFormat>
    <chartFormat chart="0" format="118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0"/>
          </reference>
          <reference field="5" count="1" selected="0">
            <x v="3"/>
          </reference>
          <reference field="7" count="1" selected="0">
            <x v="1"/>
          </reference>
        </references>
      </pivotArea>
    </chartFormat>
    <chartFormat chart="0" format="119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4"/>
          </reference>
          <reference field="5" count="1" selected="0">
            <x v="3"/>
          </reference>
          <reference field="7" count="1" selected="0">
            <x v="1"/>
          </reference>
        </references>
      </pivotArea>
    </chartFormat>
    <chartFormat chart="0" format="120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1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121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3"/>
          </reference>
          <reference field="5" count="1" selected="0">
            <x v="2"/>
          </reference>
          <reference field="7" count="1" selected="0">
            <x v="3"/>
          </reference>
        </references>
      </pivotArea>
    </chartFormat>
    <chartFormat chart="0" format="122">
      <pivotArea type="data" outline="0" fieldPosition="0">
        <references count="5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4"/>
          </reference>
          <reference field="5" count="1" selected="0">
            <x v="1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A70F4-F3FB-4AE8-BC02-C0931E3C7F7A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6" firstHeaderRow="0" firstDataRow="1" firstDataCol="1"/>
  <pivotFields count="14">
    <pivotField showAll="0"/>
    <pivotField numFmtId="14" showAl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3"/>
    <field x="12"/>
  </rowFields>
  <rowItems count="3"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Unit Price (?)" fld="7" baseField="13" baseItem="2"/>
    <dataField name="Count of Product Name" fld="5" subtotal="count" baseField="0" baseItem="0"/>
    <dataField name="Sum of Profit Margin (%)" fld="9" baseField="0" baseItem="0"/>
    <dataField name="Sum of Total Sales (?)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C2DF1-65A1-4984-86B2-A9CF849AD42B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7" firstHeaderRow="0" firstDataRow="1" firstDataCol="1"/>
  <pivotFields count="16"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dataField="1" showAll="0">
      <items count="101">
        <item x="7"/>
        <item x="45"/>
        <item x="2"/>
        <item x="51"/>
        <item x="43"/>
        <item x="70"/>
        <item x="99"/>
        <item x="81"/>
        <item x="36"/>
        <item x="59"/>
        <item x="12"/>
        <item x="23"/>
        <item x="32"/>
        <item x="97"/>
        <item x="47"/>
        <item x="62"/>
        <item x="68"/>
        <item x="10"/>
        <item x="96"/>
        <item x="86"/>
        <item x="94"/>
        <item x="60"/>
        <item x="82"/>
        <item x="87"/>
        <item x="48"/>
        <item x="69"/>
        <item x="88"/>
        <item x="71"/>
        <item x="89"/>
        <item x="24"/>
        <item x="37"/>
        <item x="73"/>
        <item x="76"/>
        <item x="77"/>
        <item x="3"/>
        <item x="19"/>
        <item x="54"/>
        <item x="80"/>
        <item x="13"/>
        <item x="53"/>
        <item x="16"/>
        <item x="63"/>
        <item x="27"/>
        <item x="40"/>
        <item x="8"/>
        <item x="35"/>
        <item x="61"/>
        <item x="6"/>
        <item x="84"/>
        <item x="21"/>
        <item x="65"/>
        <item x="90"/>
        <item x="25"/>
        <item x="66"/>
        <item x="95"/>
        <item x="44"/>
        <item x="58"/>
        <item x="67"/>
        <item x="11"/>
        <item x="18"/>
        <item x="26"/>
        <item x="85"/>
        <item x="46"/>
        <item x="0"/>
        <item x="39"/>
        <item x="92"/>
        <item x="93"/>
        <item x="20"/>
        <item x="56"/>
        <item x="91"/>
        <item x="31"/>
        <item x="28"/>
        <item x="75"/>
        <item x="83"/>
        <item x="50"/>
        <item x="55"/>
        <item x="49"/>
        <item x="74"/>
        <item x="64"/>
        <item x="5"/>
        <item x="33"/>
        <item x="14"/>
        <item x="29"/>
        <item x="72"/>
        <item x="17"/>
        <item x="22"/>
        <item x="1"/>
        <item x="79"/>
        <item x="98"/>
        <item x="38"/>
        <item x="57"/>
        <item x="41"/>
        <item x="30"/>
        <item x="52"/>
        <item x="42"/>
        <item x="4"/>
        <item x="78"/>
        <item x="9"/>
        <item x="15"/>
        <item x="34"/>
        <item t="default"/>
      </items>
    </pivotField>
    <pivotField showAll="0"/>
    <pivotField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evenue" fld="12" baseField="0" baseItem="0"/>
    <dataField name="Sum of Profit" fld="9" baseField="0" baseItem="0"/>
    <dataField name="Sum of Units Sold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AF521A-D56B-4BEA-B790-F958B3BB2664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6"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Units Sold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CED945-CEF9-4DCE-8ED0-6FDC767CCF9E}" name="Table1" displayName="Table1" ref="A1:J101" totalsRowShown="0" headerRowDxfId="32" dataDxfId="30" headerRowBorderDxfId="31" tableBorderDxfId="29" totalsRowBorderDxfId="28">
  <autoFilter ref="A1:J101" xr:uid="{82CED945-CEF9-4DCE-8ED0-6FDC767CCF9E}"/>
  <tableColumns count="10">
    <tableColumn id="1" xr3:uid="{DDACB4CB-FB9A-4A09-BD58-1BD63FCD1DAC}" name="Accident ID" dataDxfId="27"/>
    <tableColumn id="2" xr3:uid="{E0598160-A6BB-4617-AE86-4183554E2D4A}" name="Date" dataDxfId="26"/>
    <tableColumn id="3" xr3:uid="{5AB015B8-A7AF-4647-A17F-99DF58F0F997}" name="Location" dataDxfId="25"/>
    <tableColumn id="4" xr3:uid="{D1AABED2-AB45-485E-8901-120CAD4DF1D7}" name="Accident Type" dataDxfId="24"/>
    <tableColumn id="5" xr3:uid="{76BAE896-676C-4987-927A-347983F62695}" name="Vehicle Type" dataDxfId="23"/>
    <tableColumn id="6" xr3:uid="{9B9519CB-482D-41CA-BBC5-8A9F0E31E2F2}" name="Weather Condition" dataDxfId="22"/>
    <tableColumn id="7" xr3:uid="{721807D2-ABFA-49E4-A071-A47A6B901556}" name="Road Condition" dataDxfId="21"/>
    <tableColumn id="8" xr3:uid="{46F9F915-9214-4D89-80AB-BD433D2FF37F}" name="Severity" dataDxfId="20"/>
    <tableColumn id="9" xr3:uid="{3627A0AE-CE3F-4BC2-B3E3-19D954C4C708}" name="Cause" dataDxfId="19"/>
    <tableColumn id="10" xr3:uid="{71B73E42-EEF4-42F2-9381-4E447377B1AD}" name="Casualti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546DA9-0AAA-44F9-A4A4-F09D7E32B0F8}" name="Table2" displayName="Table2" ref="A1:M50" totalsRowShown="0" headerRowDxfId="17" dataDxfId="15" headerRowBorderDxfId="16" tableBorderDxfId="14" totalsRowBorderDxfId="13">
  <autoFilter ref="A1:M50" xr:uid="{20546DA9-0AAA-44F9-A4A4-F09D7E32B0F8}"/>
  <tableColumns count="13">
    <tableColumn id="1" xr3:uid="{67F614A4-7B4B-4706-88B5-59C33DA1F51C}" name="Order ID" dataDxfId="12"/>
    <tableColumn id="2" xr3:uid="{C939374D-CFAE-43E4-B280-9D89C42B5408}" name="Date" dataDxfId="11"/>
    <tableColumn id="3" xr3:uid="{5641BE8D-99F8-4FE5-8E15-C60CEF9E1811}" name="Customer Name" dataDxfId="10"/>
    <tableColumn id="4" xr3:uid="{D29826AD-717B-46EF-AAF2-C9AD5E8511F3}" name="Region" dataDxfId="9"/>
    <tableColumn id="5" xr3:uid="{A9294794-D0CA-4075-A4A6-69C653B59838}" name="Product Category" dataDxfId="8"/>
    <tableColumn id="6" xr3:uid="{82DEA5DB-0C6B-41C7-81A3-A9D91C49D1CA}" name="Product Name" dataDxfId="7"/>
    <tableColumn id="7" xr3:uid="{E6603161-20A2-474B-A58C-3D503D9FE960}" name="Quantity" dataDxfId="6"/>
    <tableColumn id="8" xr3:uid="{204CA5FD-358D-4B32-A3DE-C78F59A78727}" name="Unit Price (?)" dataDxfId="5"/>
    <tableColumn id="9" xr3:uid="{58FCDFB7-E821-4D6D-B5C1-7FDB0A43A206}" name="Total Sales (?)" dataDxfId="4"/>
    <tableColumn id="10" xr3:uid="{6595B3C3-4047-46A8-B510-E0596F1F91E2}" name="Profit Margin (%)" dataDxfId="3"/>
    <tableColumn id="11" xr3:uid="{2F5B8E14-2F5A-43F2-B5DD-FB7740207F4A}" name="Customer Age" dataDxfId="2"/>
    <tableColumn id="12" xr3:uid="{0C82A005-EFC6-4E19-85A8-DD90EE3071AE}" name="Payment Mode" dataDxfId="1"/>
    <tableColumn id="17" xr3:uid="{A02E6A4B-0B44-480F-A6E0-1116EB5558F1}" name="Column1" dataDxfId="0">
      <calculatedColumnFormula>VLOOKUP(M2, $F$2:$H$101, 3, FALSE)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0286-2139-4840-9BAF-113236B52E8F}">
  <sheetPr codeName="Sheet1"/>
  <dimension ref="A2:E137"/>
  <sheetViews>
    <sheetView tabSelected="1" workbookViewId="0">
      <selection activeCell="E26" sqref="E26"/>
    </sheetView>
  </sheetViews>
  <sheetFormatPr defaultRowHeight="14.4" x14ac:dyDescent="0.3"/>
  <cols>
    <col min="3" max="3" width="12.109375" customWidth="1"/>
  </cols>
  <sheetData>
    <row r="2" spans="3:3" x14ac:dyDescent="0.3">
      <c r="C2" s="22"/>
    </row>
    <row r="3" spans="3:3" x14ac:dyDescent="0.3">
      <c r="C3" s="22"/>
    </row>
    <row r="4" spans="3:3" x14ac:dyDescent="0.3">
      <c r="C4" s="22"/>
    </row>
    <row r="5" spans="3:3" x14ac:dyDescent="0.3">
      <c r="C5" s="22"/>
    </row>
    <row r="6" spans="3:3" x14ac:dyDescent="0.3">
      <c r="C6" s="22"/>
    </row>
    <row r="7" spans="3:3" x14ac:dyDescent="0.3">
      <c r="C7" s="22"/>
    </row>
    <row r="8" spans="3:3" x14ac:dyDescent="0.3">
      <c r="C8" s="22"/>
    </row>
    <row r="9" spans="3:3" x14ac:dyDescent="0.3">
      <c r="C9" s="22"/>
    </row>
    <row r="10" spans="3:3" x14ac:dyDescent="0.3">
      <c r="C10" s="22"/>
    </row>
    <row r="11" spans="3:3" x14ac:dyDescent="0.3">
      <c r="C11" s="22"/>
    </row>
    <row r="26" spans="1:5" ht="43.2" x14ac:dyDescent="0.3">
      <c r="A26" s="1" t="s">
        <v>0</v>
      </c>
      <c r="B26" s="1" t="s">
        <v>1</v>
      </c>
      <c r="C26" s="1" t="s">
        <v>2</v>
      </c>
      <c r="D26" s="1" t="s">
        <v>3</v>
      </c>
      <c r="E26" s="1" t="s">
        <v>4</v>
      </c>
    </row>
    <row r="27" spans="1:5" ht="28.8" x14ac:dyDescent="0.3">
      <c r="A27" s="2" t="s">
        <v>5</v>
      </c>
      <c r="B27" s="2" t="s">
        <v>6</v>
      </c>
      <c r="C27" s="3">
        <v>43631</v>
      </c>
      <c r="D27" s="2">
        <f ca="1">DATEDIF(C27, TODAY(), "Y")</f>
        <v>6</v>
      </c>
      <c r="E27" s="2">
        <f ca="1">DATEDIF(C27, TODAY(), "YM")</f>
        <v>6</v>
      </c>
    </row>
    <row r="28" spans="1:5" ht="28.8" x14ac:dyDescent="0.3">
      <c r="A28" s="2" t="s">
        <v>7</v>
      </c>
      <c r="B28" s="2" t="s">
        <v>8</v>
      </c>
      <c r="C28" s="3">
        <v>43840</v>
      </c>
      <c r="D28" s="2">
        <f t="shared" ref="D28:D34" ca="1" si="0">DATEDIF(C28, TODAY(), "Y")</f>
        <v>5</v>
      </c>
      <c r="E28" s="2">
        <f t="shared" ref="E28:E34" ca="1" si="1">DATEDIF(C28, TODAY(), "YM")</f>
        <v>11</v>
      </c>
    </row>
    <row r="29" spans="1:5" ht="28.8" x14ac:dyDescent="0.3">
      <c r="A29" s="2" t="s">
        <v>9</v>
      </c>
      <c r="B29" s="2" t="s">
        <v>10</v>
      </c>
      <c r="C29" s="3">
        <v>43184</v>
      </c>
      <c r="D29" s="2">
        <f t="shared" ca="1" si="0"/>
        <v>7</v>
      </c>
      <c r="E29" s="2">
        <f t="shared" ca="1" si="1"/>
        <v>9</v>
      </c>
    </row>
    <row r="30" spans="1:5" ht="28.8" x14ac:dyDescent="0.3">
      <c r="A30" s="2" t="s">
        <v>11</v>
      </c>
      <c r="B30" s="2" t="s">
        <v>12</v>
      </c>
      <c r="C30" s="3">
        <v>44501</v>
      </c>
      <c r="D30" s="2">
        <f t="shared" ca="1" si="0"/>
        <v>4</v>
      </c>
      <c r="E30" s="2">
        <f t="shared" ca="1" si="1"/>
        <v>2</v>
      </c>
    </row>
    <row r="31" spans="1:5" ht="28.8" x14ac:dyDescent="0.3">
      <c r="A31" s="2" t="s">
        <v>13</v>
      </c>
      <c r="B31" s="2" t="s">
        <v>14</v>
      </c>
      <c r="C31" s="3">
        <v>42934</v>
      </c>
      <c r="D31" s="2">
        <f t="shared" ca="1" si="0"/>
        <v>8</v>
      </c>
      <c r="E31" s="2">
        <f ca="1">DATEDIF(C31, TODAY(), "YM")</f>
        <v>5</v>
      </c>
    </row>
    <row r="32" spans="1:5" ht="28.8" x14ac:dyDescent="0.3">
      <c r="A32" s="2" t="s">
        <v>15</v>
      </c>
      <c r="B32" s="2" t="s">
        <v>16</v>
      </c>
      <c r="C32" s="3">
        <v>44809</v>
      </c>
      <c r="D32" s="2">
        <f t="shared" ca="1" si="0"/>
        <v>3</v>
      </c>
      <c r="E32" s="2">
        <f t="shared" ca="1" si="1"/>
        <v>4</v>
      </c>
    </row>
    <row r="33" spans="1:5" ht="28.8" x14ac:dyDescent="0.3">
      <c r="A33" s="2" t="s">
        <v>17</v>
      </c>
      <c r="B33" s="2" t="s">
        <v>18</v>
      </c>
      <c r="C33" s="3">
        <v>42420</v>
      </c>
      <c r="D33" s="2">
        <f t="shared" ca="1" si="0"/>
        <v>9</v>
      </c>
      <c r="E33" s="2">
        <f t="shared" ca="1" si="1"/>
        <v>10</v>
      </c>
    </row>
    <row r="34" spans="1:5" ht="28.8" x14ac:dyDescent="0.3">
      <c r="A34" s="2" t="s">
        <v>19</v>
      </c>
      <c r="B34" s="2" t="s">
        <v>20</v>
      </c>
      <c r="C34" s="3">
        <v>44073</v>
      </c>
      <c r="D34" s="2">
        <f t="shared" ca="1" si="0"/>
        <v>5</v>
      </c>
      <c r="E34" s="2">
        <f t="shared" ca="1" si="1"/>
        <v>4</v>
      </c>
    </row>
    <row r="127" spans="1:3" ht="28.8" x14ac:dyDescent="0.3">
      <c r="A127" s="1" t="s">
        <v>171</v>
      </c>
      <c r="B127" s="1" t="s">
        <v>172</v>
      </c>
      <c r="C127" s="1" t="s">
        <v>173</v>
      </c>
    </row>
    <row r="128" spans="1:3" x14ac:dyDescent="0.3">
      <c r="A128" s="2" t="s">
        <v>174</v>
      </c>
      <c r="B128" s="2" t="s">
        <v>175</v>
      </c>
      <c r="C128" s="2">
        <v>8</v>
      </c>
    </row>
    <row r="129" spans="1:3" x14ac:dyDescent="0.3">
      <c r="A129" s="2" t="s">
        <v>176</v>
      </c>
      <c r="B129" s="2" t="s">
        <v>177</v>
      </c>
      <c r="C129" s="2">
        <v>55</v>
      </c>
    </row>
    <row r="130" spans="1:3" ht="28.8" x14ac:dyDescent="0.3">
      <c r="A130" s="2" t="s">
        <v>178</v>
      </c>
      <c r="B130" s="2" t="s">
        <v>179</v>
      </c>
      <c r="C130" s="2">
        <v>25</v>
      </c>
    </row>
    <row r="131" spans="1:3" x14ac:dyDescent="0.3">
      <c r="A131" s="2" t="s">
        <v>180</v>
      </c>
      <c r="B131" s="2" t="s">
        <v>181</v>
      </c>
      <c r="C131" s="2">
        <v>5</v>
      </c>
    </row>
    <row r="132" spans="1:3" x14ac:dyDescent="0.3">
      <c r="A132" s="2" t="s">
        <v>182</v>
      </c>
      <c r="B132" s="2" t="s">
        <v>183</v>
      </c>
      <c r="C132" s="2">
        <v>60</v>
      </c>
    </row>
    <row r="133" spans="1:3" x14ac:dyDescent="0.3">
      <c r="A133" s="2" t="s">
        <v>184</v>
      </c>
      <c r="B133" s="2" t="s">
        <v>185</v>
      </c>
      <c r="C133" s="2">
        <v>12</v>
      </c>
    </row>
    <row r="134" spans="1:3" x14ac:dyDescent="0.3">
      <c r="A134" s="2" t="s">
        <v>186</v>
      </c>
      <c r="B134" s="2" t="s">
        <v>187</v>
      </c>
      <c r="C134" s="2">
        <v>45</v>
      </c>
    </row>
    <row r="135" spans="1:3" x14ac:dyDescent="0.3">
      <c r="A135" s="2" t="s">
        <v>188</v>
      </c>
      <c r="B135" s="2" t="s">
        <v>189</v>
      </c>
      <c r="C135" s="2">
        <v>70</v>
      </c>
    </row>
    <row r="136" spans="1:3" x14ac:dyDescent="0.3">
      <c r="A136" s="2" t="s">
        <v>190</v>
      </c>
      <c r="B136" s="2" t="s">
        <v>191</v>
      </c>
      <c r="C136" s="2">
        <v>9</v>
      </c>
    </row>
    <row r="137" spans="1:3" x14ac:dyDescent="0.3">
      <c r="A137" s="2" t="s">
        <v>192</v>
      </c>
      <c r="B137" s="2" t="s">
        <v>193</v>
      </c>
      <c r="C137" s="2">
        <v>30</v>
      </c>
    </row>
  </sheetData>
  <conditionalFormatting sqref="C128:C137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CE0C-223D-4DBA-A50B-2EB53930F5A8}">
  <sheetPr codeName="Sheet2"/>
  <dimension ref="A1:J101"/>
  <sheetViews>
    <sheetView topLeftCell="A2" workbookViewId="0">
      <selection activeCell="A2" sqref="A2"/>
    </sheetView>
  </sheetViews>
  <sheetFormatPr defaultRowHeight="14.4" x14ac:dyDescent="0.3"/>
  <cols>
    <col min="1" max="1" width="12.77734375" customWidth="1"/>
    <col min="2" max="2" width="10.33203125" bestFit="1" customWidth="1"/>
    <col min="3" max="3" width="10.44140625" customWidth="1"/>
    <col min="4" max="4" width="15.21875" customWidth="1"/>
    <col min="5" max="5" width="13.88671875" customWidth="1"/>
    <col min="6" max="6" width="19.33203125" customWidth="1"/>
    <col min="7" max="7" width="16.44140625" customWidth="1"/>
    <col min="8" max="8" width="10" customWidth="1"/>
    <col min="10" max="10" width="11.88671875" customWidth="1"/>
  </cols>
  <sheetData>
    <row r="1" spans="1:10" ht="15" thickBot="1" x14ac:dyDescent="0.35">
      <c r="A1" s="10" t="s">
        <v>21</v>
      </c>
      <c r="B1" s="11" t="s">
        <v>22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28</v>
      </c>
      <c r="I1" s="11" t="s">
        <v>29</v>
      </c>
      <c r="J1" s="12" t="s">
        <v>30</v>
      </c>
    </row>
    <row r="2" spans="1:10" ht="27.6" thickBot="1" x14ac:dyDescent="0.35">
      <c r="A2" s="8" t="s">
        <v>31</v>
      </c>
      <c r="B2" s="6">
        <v>45292</v>
      </c>
      <c r="C2" s="5" t="s">
        <v>32</v>
      </c>
      <c r="D2" s="5" t="s">
        <v>33</v>
      </c>
      <c r="E2" s="5" t="s">
        <v>34</v>
      </c>
      <c r="F2" s="5" t="s">
        <v>35</v>
      </c>
      <c r="G2" s="5" t="s">
        <v>36</v>
      </c>
      <c r="H2" s="5" t="s">
        <v>37</v>
      </c>
      <c r="I2" s="5" t="s">
        <v>38</v>
      </c>
      <c r="J2" s="9">
        <v>0</v>
      </c>
    </row>
    <row r="3" spans="1:10" ht="27.6" thickBot="1" x14ac:dyDescent="0.35">
      <c r="A3" s="8" t="s">
        <v>39</v>
      </c>
      <c r="B3" s="6">
        <v>45380</v>
      </c>
      <c r="C3" s="5" t="s">
        <v>40</v>
      </c>
      <c r="D3" s="5" t="s">
        <v>33</v>
      </c>
      <c r="E3" s="5" t="s">
        <v>34</v>
      </c>
      <c r="F3" s="5" t="s">
        <v>41</v>
      </c>
      <c r="G3" s="5" t="s">
        <v>42</v>
      </c>
      <c r="H3" s="5" t="s">
        <v>37</v>
      </c>
      <c r="I3" s="5" t="s">
        <v>43</v>
      </c>
      <c r="J3" s="9">
        <v>0</v>
      </c>
    </row>
    <row r="4" spans="1:10" ht="40.799999999999997" thickBot="1" x14ac:dyDescent="0.35">
      <c r="A4" s="8" t="s">
        <v>44</v>
      </c>
      <c r="B4" s="6">
        <v>45296</v>
      </c>
      <c r="C4" s="5" t="s">
        <v>40</v>
      </c>
      <c r="D4" s="5" t="s">
        <v>33</v>
      </c>
      <c r="E4" s="5" t="s">
        <v>45</v>
      </c>
      <c r="F4" s="5" t="s">
        <v>46</v>
      </c>
      <c r="G4" s="5" t="s">
        <v>47</v>
      </c>
      <c r="H4" s="5" t="s">
        <v>48</v>
      </c>
      <c r="I4" s="5" t="s">
        <v>38</v>
      </c>
      <c r="J4" s="9">
        <v>3</v>
      </c>
    </row>
    <row r="5" spans="1:10" ht="27.6" thickBot="1" x14ac:dyDescent="0.35">
      <c r="A5" s="8" t="s">
        <v>49</v>
      </c>
      <c r="B5" s="6">
        <v>45445</v>
      </c>
      <c r="C5" s="5" t="s">
        <v>50</v>
      </c>
      <c r="D5" s="5" t="s">
        <v>51</v>
      </c>
      <c r="E5" s="5" t="s">
        <v>52</v>
      </c>
      <c r="F5" s="5" t="s">
        <v>35</v>
      </c>
      <c r="G5" s="5" t="s">
        <v>36</v>
      </c>
      <c r="H5" s="5" t="s">
        <v>48</v>
      </c>
      <c r="I5" s="5" t="s">
        <v>53</v>
      </c>
      <c r="J5" s="9">
        <v>4</v>
      </c>
    </row>
    <row r="6" spans="1:10" ht="27.6" thickBot="1" x14ac:dyDescent="0.35">
      <c r="A6" s="8" t="s">
        <v>54</v>
      </c>
      <c r="B6" s="6">
        <v>45350</v>
      </c>
      <c r="C6" s="5" t="s">
        <v>55</v>
      </c>
      <c r="D6" s="5" t="s">
        <v>56</v>
      </c>
      <c r="E6" s="5" t="s">
        <v>34</v>
      </c>
      <c r="F6" s="5" t="s">
        <v>35</v>
      </c>
      <c r="G6" s="5" t="s">
        <v>42</v>
      </c>
      <c r="H6" s="5" t="s">
        <v>37</v>
      </c>
      <c r="I6" s="5" t="s">
        <v>57</v>
      </c>
      <c r="J6" s="9">
        <v>0</v>
      </c>
    </row>
    <row r="7" spans="1:10" ht="27.6" thickBot="1" x14ac:dyDescent="0.35">
      <c r="A7" s="8" t="s">
        <v>58</v>
      </c>
      <c r="B7" s="6">
        <v>45399</v>
      </c>
      <c r="C7" s="5" t="s">
        <v>55</v>
      </c>
      <c r="D7" s="5" t="s">
        <v>56</v>
      </c>
      <c r="E7" s="5" t="s">
        <v>59</v>
      </c>
      <c r="F7" s="5" t="s">
        <v>60</v>
      </c>
      <c r="G7" s="5" t="s">
        <v>42</v>
      </c>
      <c r="H7" s="5" t="s">
        <v>61</v>
      </c>
      <c r="I7" s="5" t="s">
        <v>62</v>
      </c>
      <c r="J7" s="9">
        <v>4</v>
      </c>
    </row>
    <row r="8" spans="1:10" ht="27.6" thickBot="1" x14ac:dyDescent="0.35">
      <c r="A8" s="8" t="s">
        <v>63</v>
      </c>
      <c r="B8" s="6">
        <v>45338</v>
      </c>
      <c r="C8" s="5" t="s">
        <v>64</v>
      </c>
      <c r="D8" s="5" t="s">
        <v>56</v>
      </c>
      <c r="E8" s="5" t="s">
        <v>59</v>
      </c>
      <c r="F8" s="5" t="s">
        <v>60</v>
      </c>
      <c r="G8" s="5" t="s">
        <v>36</v>
      </c>
      <c r="H8" s="5" t="s">
        <v>61</v>
      </c>
      <c r="I8" s="5" t="s">
        <v>65</v>
      </c>
      <c r="J8" s="9">
        <v>2</v>
      </c>
    </row>
    <row r="9" spans="1:10" ht="27.6" thickBot="1" x14ac:dyDescent="0.35">
      <c r="A9" s="8" t="s">
        <v>66</v>
      </c>
      <c r="B9" s="6">
        <v>45369</v>
      </c>
      <c r="C9" s="5" t="s">
        <v>32</v>
      </c>
      <c r="D9" s="5" t="s">
        <v>33</v>
      </c>
      <c r="E9" s="5" t="s">
        <v>59</v>
      </c>
      <c r="F9" s="5" t="s">
        <v>41</v>
      </c>
      <c r="G9" s="5" t="s">
        <v>67</v>
      </c>
      <c r="H9" s="5" t="s">
        <v>37</v>
      </c>
      <c r="I9" s="5" t="s">
        <v>65</v>
      </c>
      <c r="J9" s="9">
        <v>5</v>
      </c>
    </row>
    <row r="10" spans="1:10" ht="40.799999999999997" thickBot="1" x14ac:dyDescent="0.35">
      <c r="A10" s="8" t="s">
        <v>68</v>
      </c>
      <c r="B10" s="6">
        <v>45425</v>
      </c>
      <c r="C10" s="5" t="s">
        <v>40</v>
      </c>
      <c r="D10" s="5" t="s">
        <v>51</v>
      </c>
      <c r="E10" s="5" t="s">
        <v>59</v>
      </c>
      <c r="F10" s="5" t="s">
        <v>46</v>
      </c>
      <c r="G10" s="5" t="s">
        <v>47</v>
      </c>
      <c r="H10" s="5" t="s">
        <v>61</v>
      </c>
      <c r="I10" s="5" t="s">
        <v>57</v>
      </c>
      <c r="J10" s="9">
        <v>2</v>
      </c>
    </row>
    <row r="11" spans="1:10" ht="40.799999999999997" thickBot="1" x14ac:dyDescent="0.35">
      <c r="A11" s="8" t="s">
        <v>69</v>
      </c>
      <c r="B11" s="6">
        <v>45307</v>
      </c>
      <c r="C11" s="5" t="s">
        <v>70</v>
      </c>
      <c r="D11" s="5" t="s">
        <v>51</v>
      </c>
      <c r="E11" s="5" t="s">
        <v>71</v>
      </c>
      <c r="F11" s="5" t="s">
        <v>35</v>
      </c>
      <c r="G11" s="5" t="s">
        <v>47</v>
      </c>
      <c r="H11" s="5" t="s">
        <v>72</v>
      </c>
      <c r="I11" s="5" t="s">
        <v>65</v>
      </c>
      <c r="J11" s="9">
        <v>5</v>
      </c>
    </row>
    <row r="12" spans="1:10" ht="27.6" thickBot="1" x14ac:dyDescent="0.35">
      <c r="A12" s="8" t="s">
        <v>73</v>
      </c>
      <c r="B12" s="6">
        <v>45299</v>
      </c>
      <c r="C12" s="5" t="s">
        <v>50</v>
      </c>
      <c r="D12" s="5" t="s">
        <v>74</v>
      </c>
      <c r="E12" s="5" t="s">
        <v>34</v>
      </c>
      <c r="F12" s="5" t="s">
        <v>35</v>
      </c>
      <c r="G12" s="5" t="s">
        <v>42</v>
      </c>
      <c r="H12" s="5" t="s">
        <v>48</v>
      </c>
      <c r="I12" s="5" t="s">
        <v>38</v>
      </c>
      <c r="J12" s="9">
        <v>0</v>
      </c>
    </row>
    <row r="13" spans="1:10" ht="40.799999999999997" thickBot="1" x14ac:dyDescent="0.35">
      <c r="A13" s="8" t="s">
        <v>75</v>
      </c>
      <c r="B13" s="6">
        <v>45468</v>
      </c>
      <c r="C13" s="5" t="s">
        <v>70</v>
      </c>
      <c r="D13" s="5" t="s">
        <v>76</v>
      </c>
      <c r="E13" s="5" t="s">
        <v>59</v>
      </c>
      <c r="F13" s="5" t="s">
        <v>35</v>
      </c>
      <c r="G13" s="5" t="s">
        <v>47</v>
      </c>
      <c r="H13" s="5" t="s">
        <v>72</v>
      </c>
      <c r="I13" s="5" t="s">
        <v>38</v>
      </c>
      <c r="J13" s="9">
        <v>3</v>
      </c>
    </row>
    <row r="14" spans="1:10" ht="27.6" thickBot="1" x14ac:dyDescent="0.35">
      <c r="A14" s="8" t="s">
        <v>77</v>
      </c>
      <c r="B14" s="6">
        <v>45380</v>
      </c>
      <c r="C14" s="5" t="s">
        <v>55</v>
      </c>
      <c r="D14" s="5" t="s">
        <v>76</v>
      </c>
      <c r="E14" s="5" t="s">
        <v>45</v>
      </c>
      <c r="F14" s="5" t="s">
        <v>60</v>
      </c>
      <c r="G14" s="5" t="s">
        <v>67</v>
      </c>
      <c r="H14" s="5" t="s">
        <v>72</v>
      </c>
      <c r="I14" s="5" t="s">
        <v>65</v>
      </c>
      <c r="J14" s="9">
        <v>1</v>
      </c>
    </row>
    <row r="15" spans="1:10" ht="27.6" thickBot="1" x14ac:dyDescent="0.35">
      <c r="A15" s="8" t="s">
        <v>78</v>
      </c>
      <c r="B15" s="6">
        <v>45384</v>
      </c>
      <c r="C15" s="5" t="s">
        <v>79</v>
      </c>
      <c r="D15" s="5" t="s">
        <v>33</v>
      </c>
      <c r="E15" s="5" t="s">
        <v>80</v>
      </c>
      <c r="F15" s="5" t="s">
        <v>41</v>
      </c>
      <c r="G15" s="5" t="s">
        <v>36</v>
      </c>
      <c r="H15" s="5" t="s">
        <v>72</v>
      </c>
      <c r="I15" s="5" t="s">
        <v>62</v>
      </c>
      <c r="J15" s="9">
        <v>2</v>
      </c>
    </row>
    <row r="16" spans="1:10" ht="27.6" thickBot="1" x14ac:dyDescent="0.35">
      <c r="A16" s="8" t="s">
        <v>81</v>
      </c>
      <c r="B16" s="6">
        <v>45378</v>
      </c>
      <c r="C16" s="5" t="s">
        <v>79</v>
      </c>
      <c r="D16" s="5" t="s">
        <v>76</v>
      </c>
      <c r="E16" s="5" t="s">
        <v>71</v>
      </c>
      <c r="F16" s="5" t="s">
        <v>41</v>
      </c>
      <c r="G16" s="5" t="s">
        <v>47</v>
      </c>
      <c r="H16" s="5" t="s">
        <v>37</v>
      </c>
      <c r="I16" s="5" t="s">
        <v>53</v>
      </c>
      <c r="J16" s="9">
        <v>1</v>
      </c>
    </row>
    <row r="17" spans="1:10" ht="27.6" thickBot="1" x14ac:dyDescent="0.35">
      <c r="A17" s="8" t="s">
        <v>82</v>
      </c>
      <c r="B17" s="6">
        <v>45431</v>
      </c>
      <c r="C17" s="5" t="s">
        <v>79</v>
      </c>
      <c r="D17" s="5" t="s">
        <v>33</v>
      </c>
      <c r="E17" s="5" t="s">
        <v>52</v>
      </c>
      <c r="F17" s="5" t="s">
        <v>41</v>
      </c>
      <c r="G17" s="5" t="s">
        <v>42</v>
      </c>
      <c r="H17" s="5" t="s">
        <v>72</v>
      </c>
      <c r="I17" s="5" t="s">
        <v>43</v>
      </c>
      <c r="J17" s="9">
        <v>5</v>
      </c>
    </row>
    <row r="18" spans="1:10" ht="27.6" thickBot="1" x14ac:dyDescent="0.35">
      <c r="A18" s="8" t="s">
        <v>83</v>
      </c>
      <c r="B18" s="6">
        <v>45354</v>
      </c>
      <c r="C18" s="5" t="s">
        <v>32</v>
      </c>
      <c r="D18" s="5" t="s">
        <v>51</v>
      </c>
      <c r="E18" s="5" t="s">
        <v>71</v>
      </c>
      <c r="F18" s="5" t="s">
        <v>46</v>
      </c>
      <c r="G18" s="5" t="s">
        <v>47</v>
      </c>
      <c r="H18" s="5" t="s">
        <v>37</v>
      </c>
      <c r="I18" s="5" t="s">
        <v>43</v>
      </c>
      <c r="J18" s="9">
        <v>4</v>
      </c>
    </row>
    <row r="19" spans="1:10" ht="27.6" thickBot="1" x14ac:dyDescent="0.35">
      <c r="A19" s="8" t="s">
        <v>84</v>
      </c>
      <c r="B19" s="6">
        <v>45359</v>
      </c>
      <c r="C19" s="5" t="s">
        <v>85</v>
      </c>
      <c r="D19" s="5" t="s">
        <v>33</v>
      </c>
      <c r="E19" s="5" t="s">
        <v>59</v>
      </c>
      <c r="F19" s="5" t="s">
        <v>46</v>
      </c>
      <c r="G19" s="5" t="s">
        <v>47</v>
      </c>
      <c r="H19" s="5" t="s">
        <v>37</v>
      </c>
      <c r="I19" s="5" t="s">
        <v>53</v>
      </c>
      <c r="J19" s="9">
        <v>3</v>
      </c>
    </row>
    <row r="20" spans="1:10" ht="27.6" thickBot="1" x14ac:dyDescent="0.35">
      <c r="A20" s="8" t="s">
        <v>86</v>
      </c>
      <c r="B20" s="6">
        <v>45469</v>
      </c>
      <c r="C20" s="5" t="s">
        <v>64</v>
      </c>
      <c r="D20" s="5" t="s">
        <v>33</v>
      </c>
      <c r="E20" s="5" t="s">
        <v>71</v>
      </c>
      <c r="F20" s="5" t="s">
        <v>60</v>
      </c>
      <c r="G20" s="5" t="s">
        <v>67</v>
      </c>
      <c r="H20" s="5" t="s">
        <v>72</v>
      </c>
      <c r="I20" s="5" t="s">
        <v>62</v>
      </c>
      <c r="J20" s="9">
        <v>4</v>
      </c>
    </row>
    <row r="21" spans="1:10" ht="27.6" thickBot="1" x14ac:dyDescent="0.35">
      <c r="A21" s="8" t="s">
        <v>87</v>
      </c>
      <c r="B21" s="6">
        <v>45317</v>
      </c>
      <c r="C21" s="5" t="s">
        <v>64</v>
      </c>
      <c r="D21" s="5" t="s">
        <v>51</v>
      </c>
      <c r="E21" s="5" t="s">
        <v>45</v>
      </c>
      <c r="F21" s="5" t="s">
        <v>60</v>
      </c>
      <c r="G21" s="5" t="s">
        <v>42</v>
      </c>
      <c r="H21" s="5" t="s">
        <v>37</v>
      </c>
      <c r="I21" s="5" t="s">
        <v>53</v>
      </c>
      <c r="J21" s="9">
        <v>5</v>
      </c>
    </row>
    <row r="22" spans="1:10" ht="27.6" thickBot="1" x14ac:dyDescent="0.35">
      <c r="A22" s="8" t="s">
        <v>88</v>
      </c>
      <c r="B22" s="6">
        <v>45327</v>
      </c>
      <c r="C22" s="5" t="s">
        <v>50</v>
      </c>
      <c r="D22" s="5" t="s">
        <v>56</v>
      </c>
      <c r="E22" s="5" t="s">
        <v>71</v>
      </c>
      <c r="F22" s="5" t="s">
        <v>46</v>
      </c>
      <c r="G22" s="5" t="s">
        <v>42</v>
      </c>
      <c r="H22" s="5" t="s">
        <v>61</v>
      </c>
      <c r="I22" s="5" t="s">
        <v>43</v>
      </c>
      <c r="J22" s="9">
        <v>5</v>
      </c>
    </row>
    <row r="23" spans="1:10" ht="27.6" thickBot="1" x14ac:dyDescent="0.35">
      <c r="A23" s="8" t="s">
        <v>89</v>
      </c>
      <c r="B23" s="6">
        <v>45450</v>
      </c>
      <c r="C23" s="5" t="s">
        <v>32</v>
      </c>
      <c r="D23" s="5" t="s">
        <v>74</v>
      </c>
      <c r="E23" s="5" t="s">
        <v>52</v>
      </c>
      <c r="F23" s="5" t="s">
        <v>41</v>
      </c>
      <c r="G23" s="5" t="s">
        <v>47</v>
      </c>
      <c r="H23" s="5" t="s">
        <v>48</v>
      </c>
      <c r="I23" s="5" t="s">
        <v>57</v>
      </c>
      <c r="J23" s="9">
        <v>4</v>
      </c>
    </row>
    <row r="24" spans="1:10" ht="27.6" thickBot="1" x14ac:dyDescent="0.35">
      <c r="A24" s="8" t="s">
        <v>90</v>
      </c>
      <c r="B24" s="6">
        <v>45378</v>
      </c>
      <c r="C24" s="5" t="s">
        <v>79</v>
      </c>
      <c r="D24" s="5" t="s">
        <v>51</v>
      </c>
      <c r="E24" s="5" t="s">
        <v>45</v>
      </c>
      <c r="F24" s="5" t="s">
        <v>60</v>
      </c>
      <c r="G24" s="5" t="s">
        <v>47</v>
      </c>
      <c r="H24" s="5" t="s">
        <v>72</v>
      </c>
      <c r="I24" s="5" t="s">
        <v>57</v>
      </c>
      <c r="J24" s="9">
        <v>4</v>
      </c>
    </row>
    <row r="25" spans="1:10" ht="27.6" thickBot="1" x14ac:dyDescent="0.35">
      <c r="A25" s="8" t="s">
        <v>91</v>
      </c>
      <c r="B25" s="6">
        <v>45346</v>
      </c>
      <c r="C25" s="5" t="s">
        <v>40</v>
      </c>
      <c r="D25" s="5" t="s">
        <v>74</v>
      </c>
      <c r="E25" s="5" t="s">
        <v>52</v>
      </c>
      <c r="F25" s="5" t="s">
        <v>60</v>
      </c>
      <c r="G25" s="5" t="s">
        <v>36</v>
      </c>
      <c r="H25" s="5" t="s">
        <v>37</v>
      </c>
      <c r="I25" s="5" t="s">
        <v>38</v>
      </c>
      <c r="J25" s="9">
        <v>0</v>
      </c>
    </row>
    <row r="26" spans="1:10" ht="27.6" thickBot="1" x14ac:dyDescent="0.35">
      <c r="A26" s="8" t="s">
        <v>92</v>
      </c>
      <c r="B26" s="6">
        <v>45447</v>
      </c>
      <c r="C26" s="5" t="s">
        <v>64</v>
      </c>
      <c r="D26" s="5" t="s">
        <v>56</v>
      </c>
      <c r="E26" s="5" t="s">
        <v>71</v>
      </c>
      <c r="F26" s="5" t="s">
        <v>60</v>
      </c>
      <c r="G26" s="5" t="s">
        <v>42</v>
      </c>
      <c r="H26" s="5" t="s">
        <v>48</v>
      </c>
      <c r="I26" s="5" t="s">
        <v>62</v>
      </c>
      <c r="J26" s="9">
        <v>1</v>
      </c>
    </row>
    <row r="27" spans="1:10" ht="15" thickBot="1" x14ac:dyDescent="0.35">
      <c r="A27" s="8" t="s">
        <v>93</v>
      </c>
      <c r="B27" s="6">
        <v>45442</v>
      </c>
      <c r="C27" s="5" t="s">
        <v>50</v>
      </c>
      <c r="D27" s="5" t="s">
        <v>51</v>
      </c>
      <c r="E27" s="5" t="s">
        <v>80</v>
      </c>
      <c r="F27" s="5" t="s">
        <v>35</v>
      </c>
      <c r="G27" s="5" t="s">
        <v>42</v>
      </c>
      <c r="H27" s="5" t="s">
        <v>37</v>
      </c>
      <c r="I27" s="5" t="s">
        <v>57</v>
      </c>
      <c r="J27" s="9">
        <v>0</v>
      </c>
    </row>
    <row r="28" spans="1:10" ht="27.6" thickBot="1" x14ac:dyDescent="0.35">
      <c r="A28" s="8" t="s">
        <v>94</v>
      </c>
      <c r="B28" s="6">
        <v>45386</v>
      </c>
      <c r="C28" s="5" t="s">
        <v>32</v>
      </c>
      <c r="D28" s="5" t="s">
        <v>76</v>
      </c>
      <c r="E28" s="5" t="s">
        <v>59</v>
      </c>
      <c r="F28" s="5" t="s">
        <v>46</v>
      </c>
      <c r="G28" s="5" t="s">
        <v>67</v>
      </c>
      <c r="H28" s="5" t="s">
        <v>48</v>
      </c>
      <c r="I28" s="5" t="s">
        <v>38</v>
      </c>
      <c r="J28" s="9">
        <v>0</v>
      </c>
    </row>
    <row r="29" spans="1:10" ht="27.6" thickBot="1" x14ac:dyDescent="0.35">
      <c r="A29" s="8" t="s">
        <v>95</v>
      </c>
      <c r="B29" s="6">
        <v>45422</v>
      </c>
      <c r="C29" s="5" t="s">
        <v>32</v>
      </c>
      <c r="D29" s="5" t="s">
        <v>33</v>
      </c>
      <c r="E29" s="5" t="s">
        <v>45</v>
      </c>
      <c r="F29" s="5" t="s">
        <v>41</v>
      </c>
      <c r="G29" s="5" t="s">
        <v>36</v>
      </c>
      <c r="H29" s="5" t="s">
        <v>72</v>
      </c>
      <c r="I29" s="5" t="s">
        <v>53</v>
      </c>
      <c r="J29" s="9">
        <v>4</v>
      </c>
    </row>
    <row r="30" spans="1:10" ht="15" thickBot="1" x14ac:dyDescent="0.35">
      <c r="A30" s="8" t="s">
        <v>96</v>
      </c>
      <c r="B30" s="6">
        <v>45353</v>
      </c>
      <c r="C30" s="5" t="s">
        <v>79</v>
      </c>
      <c r="D30" s="5" t="s">
        <v>56</v>
      </c>
      <c r="E30" s="5" t="s">
        <v>34</v>
      </c>
      <c r="F30" s="5" t="s">
        <v>60</v>
      </c>
      <c r="G30" s="5" t="s">
        <v>42</v>
      </c>
      <c r="H30" s="5" t="s">
        <v>72</v>
      </c>
      <c r="I30" s="5" t="s">
        <v>57</v>
      </c>
      <c r="J30" s="9">
        <v>4</v>
      </c>
    </row>
    <row r="31" spans="1:10" ht="27.6" thickBot="1" x14ac:dyDescent="0.35">
      <c r="A31" s="8" t="s">
        <v>97</v>
      </c>
      <c r="B31" s="6">
        <v>45398</v>
      </c>
      <c r="C31" s="5" t="s">
        <v>50</v>
      </c>
      <c r="D31" s="5" t="s">
        <v>76</v>
      </c>
      <c r="E31" s="5" t="s">
        <v>59</v>
      </c>
      <c r="F31" s="5" t="s">
        <v>41</v>
      </c>
      <c r="G31" s="5" t="s">
        <v>47</v>
      </c>
      <c r="H31" s="5" t="s">
        <v>72</v>
      </c>
      <c r="I31" s="5" t="s">
        <v>43</v>
      </c>
      <c r="J31" s="9">
        <v>0</v>
      </c>
    </row>
    <row r="32" spans="1:10" ht="27.6" thickBot="1" x14ac:dyDescent="0.35">
      <c r="A32" s="8" t="s">
        <v>98</v>
      </c>
      <c r="B32" s="6">
        <v>45452</v>
      </c>
      <c r="C32" s="5" t="s">
        <v>85</v>
      </c>
      <c r="D32" s="5" t="s">
        <v>74</v>
      </c>
      <c r="E32" s="5" t="s">
        <v>71</v>
      </c>
      <c r="F32" s="5" t="s">
        <v>60</v>
      </c>
      <c r="G32" s="5" t="s">
        <v>67</v>
      </c>
      <c r="H32" s="5" t="s">
        <v>72</v>
      </c>
      <c r="I32" s="5" t="s">
        <v>38</v>
      </c>
      <c r="J32" s="9">
        <v>5</v>
      </c>
    </row>
    <row r="33" spans="1:10" ht="27.6" thickBot="1" x14ac:dyDescent="0.35">
      <c r="A33" s="8" t="s">
        <v>99</v>
      </c>
      <c r="B33" s="6">
        <v>45347</v>
      </c>
      <c r="C33" s="5" t="s">
        <v>79</v>
      </c>
      <c r="D33" s="5" t="s">
        <v>76</v>
      </c>
      <c r="E33" s="5" t="s">
        <v>34</v>
      </c>
      <c r="F33" s="5" t="s">
        <v>60</v>
      </c>
      <c r="G33" s="5" t="s">
        <v>42</v>
      </c>
      <c r="H33" s="5" t="s">
        <v>48</v>
      </c>
      <c r="I33" s="5" t="s">
        <v>62</v>
      </c>
      <c r="J33" s="9">
        <v>2</v>
      </c>
    </row>
    <row r="34" spans="1:10" ht="27.6" thickBot="1" x14ac:dyDescent="0.35">
      <c r="A34" s="8" t="s">
        <v>100</v>
      </c>
      <c r="B34" s="6">
        <v>45467</v>
      </c>
      <c r="C34" s="5" t="s">
        <v>50</v>
      </c>
      <c r="D34" s="5" t="s">
        <v>74</v>
      </c>
      <c r="E34" s="5" t="s">
        <v>34</v>
      </c>
      <c r="F34" s="5" t="s">
        <v>46</v>
      </c>
      <c r="G34" s="5" t="s">
        <v>42</v>
      </c>
      <c r="H34" s="5" t="s">
        <v>48</v>
      </c>
      <c r="I34" s="5" t="s">
        <v>43</v>
      </c>
      <c r="J34" s="9">
        <v>1</v>
      </c>
    </row>
    <row r="35" spans="1:10" ht="27.6" thickBot="1" x14ac:dyDescent="0.35">
      <c r="A35" s="8" t="s">
        <v>101</v>
      </c>
      <c r="B35" s="6">
        <v>45403</v>
      </c>
      <c r="C35" s="5" t="s">
        <v>85</v>
      </c>
      <c r="D35" s="5" t="s">
        <v>56</v>
      </c>
      <c r="E35" s="5" t="s">
        <v>45</v>
      </c>
      <c r="F35" s="5" t="s">
        <v>35</v>
      </c>
      <c r="G35" s="5" t="s">
        <v>47</v>
      </c>
      <c r="H35" s="5" t="s">
        <v>61</v>
      </c>
      <c r="I35" s="5" t="s">
        <v>62</v>
      </c>
      <c r="J35" s="9">
        <v>1</v>
      </c>
    </row>
    <row r="36" spans="1:10" ht="15" thickBot="1" x14ac:dyDescent="0.35">
      <c r="A36" s="8" t="s">
        <v>102</v>
      </c>
      <c r="B36" s="6">
        <v>45293</v>
      </c>
      <c r="C36" s="5" t="s">
        <v>40</v>
      </c>
      <c r="D36" s="5" t="s">
        <v>33</v>
      </c>
      <c r="E36" s="5" t="s">
        <v>52</v>
      </c>
      <c r="F36" s="5" t="s">
        <v>35</v>
      </c>
      <c r="G36" s="5" t="s">
        <v>67</v>
      </c>
      <c r="H36" s="5" t="s">
        <v>72</v>
      </c>
      <c r="I36" s="5" t="s">
        <v>65</v>
      </c>
      <c r="J36" s="9">
        <v>3</v>
      </c>
    </row>
    <row r="37" spans="1:10" ht="27.6" thickBot="1" x14ac:dyDescent="0.35">
      <c r="A37" s="8" t="s">
        <v>103</v>
      </c>
      <c r="B37" s="6">
        <v>45436</v>
      </c>
      <c r="C37" s="5" t="s">
        <v>85</v>
      </c>
      <c r="D37" s="5" t="s">
        <v>56</v>
      </c>
      <c r="E37" s="5" t="s">
        <v>34</v>
      </c>
      <c r="F37" s="5" t="s">
        <v>35</v>
      </c>
      <c r="G37" s="5" t="s">
        <v>67</v>
      </c>
      <c r="H37" s="5" t="s">
        <v>37</v>
      </c>
      <c r="I37" s="5" t="s">
        <v>43</v>
      </c>
      <c r="J37" s="9">
        <v>4</v>
      </c>
    </row>
    <row r="38" spans="1:10" ht="27.6" thickBot="1" x14ac:dyDescent="0.35">
      <c r="A38" s="8" t="s">
        <v>104</v>
      </c>
      <c r="B38" s="6">
        <v>45317</v>
      </c>
      <c r="C38" s="5" t="s">
        <v>70</v>
      </c>
      <c r="D38" s="5" t="s">
        <v>74</v>
      </c>
      <c r="E38" s="5" t="s">
        <v>71</v>
      </c>
      <c r="F38" s="5" t="s">
        <v>35</v>
      </c>
      <c r="G38" s="5" t="s">
        <v>47</v>
      </c>
      <c r="H38" s="5" t="s">
        <v>61</v>
      </c>
      <c r="I38" s="5" t="s">
        <v>38</v>
      </c>
      <c r="J38" s="9">
        <v>5</v>
      </c>
    </row>
    <row r="39" spans="1:10" ht="27.6" thickBot="1" x14ac:dyDescent="0.35">
      <c r="A39" s="8" t="s">
        <v>105</v>
      </c>
      <c r="B39" s="6">
        <v>45314</v>
      </c>
      <c r="C39" s="5" t="s">
        <v>55</v>
      </c>
      <c r="D39" s="5" t="s">
        <v>33</v>
      </c>
      <c r="E39" s="5" t="s">
        <v>34</v>
      </c>
      <c r="F39" s="5" t="s">
        <v>46</v>
      </c>
      <c r="G39" s="5" t="s">
        <v>47</v>
      </c>
      <c r="H39" s="5" t="s">
        <v>72</v>
      </c>
      <c r="I39" s="5" t="s">
        <v>65</v>
      </c>
      <c r="J39" s="9">
        <v>0</v>
      </c>
    </row>
    <row r="40" spans="1:10" ht="27.6" thickBot="1" x14ac:dyDescent="0.35">
      <c r="A40" s="8" t="s">
        <v>106</v>
      </c>
      <c r="B40" s="6">
        <v>45408</v>
      </c>
      <c r="C40" s="5" t="s">
        <v>50</v>
      </c>
      <c r="D40" s="5" t="s">
        <v>56</v>
      </c>
      <c r="E40" s="5" t="s">
        <v>59</v>
      </c>
      <c r="F40" s="5" t="s">
        <v>41</v>
      </c>
      <c r="G40" s="5" t="s">
        <v>47</v>
      </c>
      <c r="H40" s="5" t="s">
        <v>48</v>
      </c>
      <c r="I40" s="5" t="s">
        <v>65</v>
      </c>
      <c r="J40" s="9">
        <v>2</v>
      </c>
    </row>
    <row r="41" spans="1:10" ht="15" thickBot="1" x14ac:dyDescent="0.35">
      <c r="A41" s="8" t="s">
        <v>107</v>
      </c>
      <c r="B41" s="6">
        <v>45365</v>
      </c>
      <c r="C41" s="5" t="s">
        <v>32</v>
      </c>
      <c r="D41" s="5" t="s">
        <v>33</v>
      </c>
      <c r="E41" s="5" t="s">
        <v>34</v>
      </c>
      <c r="F41" s="5" t="s">
        <v>60</v>
      </c>
      <c r="G41" s="5" t="s">
        <v>42</v>
      </c>
      <c r="H41" s="5" t="s">
        <v>48</v>
      </c>
      <c r="I41" s="5" t="s">
        <v>57</v>
      </c>
      <c r="J41" s="9">
        <v>1</v>
      </c>
    </row>
    <row r="42" spans="1:10" ht="27.6" thickBot="1" x14ac:dyDescent="0.35">
      <c r="A42" s="8" t="s">
        <v>108</v>
      </c>
      <c r="B42" s="6">
        <v>45301</v>
      </c>
      <c r="C42" s="5" t="s">
        <v>32</v>
      </c>
      <c r="D42" s="5" t="s">
        <v>56</v>
      </c>
      <c r="E42" s="5" t="s">
        <v>34</v>
      </c>
      <c r="F42" s="5" t="s">
        <v>35</v>
      </c>
      <c r="G42" s="5" t="s">
        <v>67</v>
      </c>
      <c r="H42" s="5" t="s">
        <v>61</v>
      </c>
      <c r="I42" s="5" t="s">
        <v>53</v>
      </c>
      <c r="J42" s="9">
        <v>4</v>
      </c>
    </row>
    <row r="43" spans="1:10" ht="27.6" thickBot="1" x14ac:dyDescent="0.35">
      <c r="A43" s="8" t="s">
        <v>109</v>
      </c>
      <c r="B43" s="6">
        <v>45410</v>
      </c>
      <c r="C43" s="5" t="s">
        <v>40</v>
      </c>
      <c r="D43" s="5" t="s">
        <v>51</v>
      </c>
      <c r="E43" s="5" t="s">
        <v>59</v>
      </c>
      <c r="F43" s="5" t="s">
        <v>41</v>
      </c>
      <c r="G43" s="5" t="s">
        <v>47</v>
      </c>
      <c r="H43" s="5" t="s">
        <v>61</v>
      </c>
      <c r="I43" s="5" t="s">
        <v>65</v>
      </c>
      <c r="J43" s="9">
        <v>2</v>
      </c>
    </row>
    <row r="44" spans="1:10" ht="27.6" thickBot="1" x14ac:dyDescent="0.35">
      <c r="A44" s="8" t="s">
        <v>110</v>
      </c>
      <c r="B44" s="6">
        <v>45314</v>
      </c>
      <c r="C44" s="5" t="s">
        <v>55</v>
      </c>
      <c r="D44" s="5" t="s">
        <v>33</v>
      </c>
      <c r="E44" s="5" t="s">
        <v>45</v>
      </c>
      <c r="F44" s="5" t="s">
        <v>46</v>
      </c>
      <c r="G44" s="5" t="s">
        <v>47</v>
      </c>
      <c r="H44" s="5" t="s">
        <v>61</v>
      </c>
      <c r="I44" s="5" t="s">
        <v>53</v>
      </c>
      <c r="J44" s="9">
        <v>2</v>
      </c>
    </row>
    <row r="45" spans="1:10" ht="15" thickBot="1" x14ac:dyDescent="0.35">
      <c r="A45" s="8" t="s">
        <v>111</v>
      </c>
      <c r="B45" s="6">
        <v>45370</v>
      </c>
      <c r="C45" s="5" t="s">
        <v>32</v>
      </c>
      <c r="D45" s="5" t="s">
        <v>56</v>
      </c>
      <c r="E45" s="5" t="s">
        <v>59</v>
      </c>
      <c r="F45" s="5" t="s">
        <v>46</v>
      </c>
      <c r="G45" s="5" t="s">
        <v>67</v>
      </c>
      <c r="H45" s="5" t="s">
        <v>48</v>
      </c>
      <c r="I45" s="5" t="s">
        <v>57</v>
      </c>
      <c r="J45" s="9">
        <v>4</v>
      </c>
    </row>
    <row r="46" spans="1:10" ht="27.6" thickBot="1" x14ac:dyDescent="0.35">
      <c r="A46" s="8" t="s">
        <v>112</v>
      </c>
      <c r="B46" s="6">
        <v>45371</v>
      </c>
      <c r="C46" s="5" t="s">
        <v>32</v>
      </c>
      <c r="D46" s="5" t="s">
        <v>33</v>
      </c>
      <c r="E46" s="5" t="s">
        <v>80</v>
      </c>
      <c r="F46" s="5" t="s">
        <v>35</v>
      </c>
      <c r="G46" s="5" t="s">
        <v>67</v>
      </c>
      <c r="H46" s="5" t="s">
        <v>72</v>
      </c>
      <c r="I46" s="5" t="s">
        <v>53</v>
      </c>
      <c r="J46" s="9">
        <v>3</v>
      </c>
    </row>
    <row r="47" spans="1:10" ht="15" thickBot="1" x14ac:dyDescent="0.35">
      <c r="A47" s="8" t="s">
        <v>113</v>
      </c>
      <c r="B47" s="6">
        <v>45417</v>
      </c>
      <c r="C47" s="5" t="s">
        <v>40</v>
      </c>
      <c r="D47" s="5" t="s">
        <v>56</v>
      </c>
      <c r="E47" s="5" t="s">
        <v>71</v>
      </c>
      <c r="F47" s="5" t="s">
        <v>60</v>
      </c>
      <c r="G47" s="5" t="s">
        <v>36</v>
      </c>
      <c r="H47" s="5" t="s">
        <v>61</v>
      </c>
      <c r="I47" s="5" t="s">
        <v>65</v>
      </c>
      <c r="J47" s="9">
        <v>0</v>
      </c>
    </row>
    <row r="48" spans="1:10" ht="27.6" thickBot="1" x14ac:dyDescent="0.35">
      <c r="A48" s="8" t="s">
        <v>114</v>
      </c>
      <c r="B48" s="6">
        <v>45402</v>
      </c>
      <c r="C48" s="5" t="s">
        <v>32</v>
      </c>
      <c r="D48" s="5" t="s">
        <v>33</v>
      </c>
      <c r="E48" s="5" t="s">
        <v>59</v>
      </c>
      <c r="F48" s="5" t="s">
        <v>41</v>
      </c>
      <c r="G48" s="5" t="s">
        <v>36</v>
      </c>
      <c r="H48" s="5" t="s">
        <v>72</v>
      </c>
      <c r="I48" s="5" t="s">
        <v>38</v>
      </c>
      <c r="J48" s="9">
        <v>1</v>
      </c>
    </row>
    <row r="49" spans="1:10" ht="27.6" thickBot="1" x14ac:dyDescent="0.35">
      <c r="A49" s="8" t="s">
        <v>115</v>
      </c>
      <c r="B49" s="6">
        <v>45466</v>
      </c>
      <c r="C49" s="5" t="s">
        <v>79</v>
      </c>
      <c r="D49" s="5" t="s">
        <v>56</v>
      </c>
      <c r="E49" s="5" t="s">
        <v>71</v>
      </c>
      <c r="F49" s="5" t="s">
        <v>60</v>
      </c>
      <c r="G49" s="5" t="s">
        <v>67</v>
      </c>
      <c r="H49" s="5" t="s">
        <v>48</v>
      </c>
      <c r="I49" s="5" t="s">
        <v>62</v>
      </c>
      <c r="J49" s="9">
        <v>0</v>
      </c>
    </row>
    <row r="50" spans="1:10" ht="15" thickBot="1" x14ac:dyDescent="0.35">
      <c r="A50" s="8" t="s">
        <v>116</v>
      </c>
      <c r="B50" s="6">
        <v>45369</v>
      </c>
      <c r="C50" s="5" t="s">
        <v>85</v>
      </c>
      <c r="D50" s="5" t="s">
        <v>51</v>
      </c>
      <c r="E50" s="5" t="s">
        <v>71</v>
      </c>
      <c r="F50" s="5" t="s">
        <v>35</v>
      </c>
      <c r="G50" s="5" t="s">
        <v>36</v>
      </c>
      <c r="H50" s="5" t="s">
        <v>37</v>
      </c>
      <c r="I50" s="5" t="s">
        <v>57</v>
      </c>
      <c r="J50" s="9">
        <v>5</v>
      </c>
    </row>
    <row r="51" spans="1:10" ht="15" thickBot="1" x14ac:dyDescent="0.35">
      <c r="A51" s="8" t="s">
        <v>117</v>
      </c>
      <c r="B51" s="6">
        <v>45436</v>
      </c>
      <c r="C51" s="5" t="s">
        <v>55</v>
      </c>
      <c r="D51" s="5" t="s">
        <v>76</v>
      </c>
      <c r="E51" s="5" t="s">
        <v>52</v>
      </c>
      <c r="F51" s="5" t="s">
        <v>41</v>
      </c>
      <c r="G51" s="5" t="s">
        <v>42</v>
      </c>
      <c r="H51" s="5" t="s">
        <v>61</v>
      </c>
      <c r="I51" s="5" t="s">
        <v>65</v>
      </c>
      <c r="J51" s="9">
        <v>2</v>
      </c>
    </row>
    <row r="52" spans="1:10" ht="27.6" thickBot="1" x14ac:dyDescent="0.35">
      <c r="A52" s="8" t="s">
        <v>118</v>
      </c>
      <c r="B52" s="6">
        <v>45383</v>
      </c>
      <c r="C52" s="5" t="s">
        <v>70</v>
      </c>
      <c r="D52" s="5" t="s">
        <v>51</v>
      </c>
      <c r="E52" s="5" t="s">
        <v>45</v>
      </c>
      <c r="F52" s="5" t="s">
        <v>46</v>
      </c>
      <c r="G52" s="5" t="s">
        <v>36</v>
      </c>
      <c r="H52" s="5" t="s">
        <v>37</v>
      </c>
      <c r="I52" s="5" t="s">
        <v>62</v>
      </c>
      <c r="J52" s="9">
        <v>0</v>
      </c>
    </row>
    <row r="53" spans="1:10" ht="15" thickBot="1" x14ac:dyDescent="0.35">
      <c r="A53" s="8" t="s">
        <v>119</v>
      </c>
      <c r="B53" s="6">
        <v>45347</v>
      </c>
      <c r="C53" s="5" t="s">
        <v>64</v>
      </c>
      <c r="D53" s="5" t="s">
        <v>56</v>
      </c>
      <c r="E53" s="5" t="s">
        <v>52</v>
      </c>
      <c r="F53" s="5" t="s">
        <v>41</v>
      </c>
      <c r="G53" s="5" t="s">
        <v>42</v>
      </c>
      <c r="H53" s="5" t="s">
        <v>72</v>
      </c>
      <c r="I53" s="5" t="s">
        <v>57</v>
      </c>
      <c r="J53" s="9">
        <v>2</v>
      </c>
    </row>
    <row r="54" spans="1:10" ht="27.6" thickBot="1" x14ac:dyDescent="0.35">
      <c r="A54" s="8" t="s">
        <v>120</v>
      </c>
      <c r="B54" s="6">
        <v>45311</v>
      </c>
      <c r="C54" s="5" t="s">
        <v>85</v>
      </c>
      <c r="D54" s="5" t="s">
        <v>76</v>
      </c>
      <c r="E54" s="5" t="s">
        <v>59</v>
      </c>
      <c r="F54" s="5" t="s">
        <v>46</v>
      </c>
      <c r="G54" s="5" t="s">
        <v>47</v>
      </c>
      <c r="H54" s="5" t="s">
        <v>37</v>
      </c>
      <c r="I54" s="5" t="s">
        <v>62</v>
      </c>
      <c r="J54" s="9">
        <v>3</v>
      </c>
    </row>
    <row r="55" spans="1:10" ht="27.6" thickBot="1" x14ac:dyDescent="0.35">
      <c r="A55" s="8" t="s">
        <v>121</v>
      </c>
      <c r="B55" s="6">
        <v>45345</v>
      </c>
      <c r="C55" s="5" t="s">
        <v>32</v>
      </c>
      <c r="D55" s="5" t="s">
        <v>56</v>
      </c>
      <c r="E55" s="5" t="s">
        <v>52</v>
      </c>
      <c r="F55" s="5" t="s">
        <v>46</v>
      </c>
      <c r="G55" s="5" t="s">
        <v>36</v>
      </c>
      <c r="H55" s="5" t="s">
        <v>72</v>
      </c>
      <c r="I55" s="5" t="s">
        <v>62</v>
      </c>
      <c r="J55" s="9">
        <v>5</v>
      </c>
    </row>
    <row r="56" spans="1:10" ht="27.6" thickBot="1" x14ac:dyDescent="0.35">
      <c r="A56" s="8" t="s">
        <v>122</v>
      </c>
      <c r="B56" s="6">
        <v>45433</v>
      </c>
      <c r="C56" s="5" t="s">
        <v>32</v>
      </c>
      <c r="D56" s="5" t="s">
        <v>33</v>
      </c>
      <c r="E56" s="5" t="s">
        <v>34</v>
      </c>
      <c r="F56" s="5" t="s">
        <v>35</v>
      </c>
      <c r="G56" s="5" t="s">
        <v>42</v>
      </c>
      <c r="H56" s="5" t="s">
        <v>37</v>
      </c>
      <c r="I56" s="5" t="s">
        <v>53</v>
      </c>
      <c r="J56" s="9">
        <v>4</v>
      </c>
    </row>
    <row r="57" spans="1:10" ht="27.6" thickBot="1" x14ac:dyDescent="0.35">
      <c r="A57" s="8" t="s">
        <v>123</v>
      </c>
      <c r="B57" s="6">
        <v>45374</v>
      </c>
      <c r="C57" s="5" t="s">
        <v>55</v>
      </c>
      <c r="D57" s="5" t="s">
        <v>33</v>
      </c>
      <c r="E57" s="5" t="s">
        <v>80</v>
      </c>
      <c r="F57" s="5" t="s">
        <v>41</v>
      </c>
      <c r="G57" s="5" t="s">
        <v>47</v>
      </c>
      <c r="H57" s="5" t="s">
        <v>37</v>
      </c>
      <c r="I57" s="5" t="s">
        <v>62</v>
      </c>
      <c r="J57" s="9">
        <v>3</v>
      </c>
    </row>
    <row r="58" spans="1:10" ht="27.6" thickBot="1" x14ac:dyDescent="0.35">
      <c r="A58" s="8" t="s">
        <v>124</v>
      </c>
      <c r="B58" s="6">
        <v>45433</v>
      </c>
      <c r="C58" s="5" t="s">
        <v>55</v>
      </c>
      <c r="D58" s="5" t="s">
        <v>33</v>
      </c>
      <c r="E58" s="5" t="s">
        <v>80</v>
      </c>
      <c r="F58" s="5" t="s">
        <v>46</v>
      </c>
      <c r="G58" s="5" t="s">
        <v>47</v>
      </c>
      <c r="H58" s="5" t="s">
        <v>61</v>
      </c>
      <c r="I58" s="5" t="s">
        <v>65</v>
      </c>
      <c r="J58" s="9">
        <v>5</v>
      </c>
    </row>
    <row r="59" spans="1:10" ht="27.6" thickBot="1" x14ac:dyDescent="0.35">
      <c r="A59" s="8" t="s">
        <v>125</v>
      </c>
      <c r="B59" s="6">
        <v>45367</v>
      </c>
      <c r="C59" s="5" t="s">
        <v>32</v>
      </c>
      <c r="D59" s="5" t="s">
        <v>51</v>
      </c>
      <c r="E59" s="5" t="s">
        <v>34</v>
      </c>
      <c r="F59" s="5" t="s">
        <v>41</v>
      </c>
      <c r="G59" s="5" t="s">
        <v>67</v>
      </c>
      <c r="H59" s="5" t="s">
        <v>61</v>
      </c>
      <c r="I59" s="5" t="s">
        <v>53</v>
      </c>
      <c r="J59" s="9">
        <v>2</v>
      </c>
    </row>
    <row r="60" spans="1:10" ht="27.6" thickBot="1" x14ac:dyDescent="0.35">
      <c r="A60" s="8" t="s">
        <v>126</v>
      </c>
      <c r="B60" s="6">
        <v>45317</v>
      </c>
      <c r="C60" s="5" t="s">
        <v>40</v>
      </c>
      <c r="D60" s="5" t="s">
        <v>51</v>
      </c>
      <c r="E60" s="5" t="s">
        <v>59</v>
      </c>
      <c r="F60" s="5" t="s">
        <v>41</v>
      </c>
      <c r="G60" s="5" t="s">
        <v>47</v>
      </c>
      <c r="H60" s="5" t="s">
        <v>48</v>
      </c>
      <c r="I60" s="5" t="s">
        <v>65</v>
      </c>
      <c r="J60" s="9">
        <v>4</v>
      </c>
    </row>
    <row r="61" spans="1:10" ht="27.6" thickBot="1" x14ac:dyDescent="0.35">
      <c r="A61" s="8" t="s">
        <v>127</v>
      </c>
      <c r="B61" s="6">
        <v>45426</v>
      </c>
      <c r="C61" s="5" t="s">
        <v>50</v>
      </c>
      <c r="D61" s="5" t="s">
        <v>33</v>
      </c>
      <c r="E61" s="5" t="s">
        <v>59</v>
      </c>
      <c r="F61" s="5" t="s">
        <v>60</v>
      </c>
      <c r="G61" s="5" t="s">
        <v>36</v>
      </c>
      <c r="H61" s="5" t="s">
        <v>48</v>
      </c>
      <c r="I61" s="5" t="s">
        <v>62</v>
      </c>
      <c r="J61" s="9">
        <v>2</v>
      </c>
    </row>
    <row r="62" spans="1:10" ht="27.6" thickBot="1" x14ac:dyDescent="0.35">
      <c r="A62" s="8" t="s">
        <v>128</v>
      </c>
      <c r="B62" s="6">
        <v>45423</v>
      </c>
      <c r="C62" s="5" t="s">
        <v>32</v>
      </c>
      <c r="D62" s="5" t="s">
        <v>56</v>
      </c>
      <c r="E62" s="5" t="s">
        <v>45</v>
      </c>
      <c r="F62" s="5" t="s">
        <v>41</v>
      </c>
      <c r="G62" s="5" t="s">
        <v>47</v>
      </c>
      <c r="H62" s="5" t="s">
        <v>48</v>
      </c>
      <c r="I62" s="5" t="s">
        <v>53</v>
      </c>
      <c r="J62" s="9">
        <v>5</v>
      </c>
    </row>
    <row r="63" spans="1:10" ht="15" thickBot="1" x14ac:dyDescent="0.35">
      <c r="A63" s="8" t="s">
        <v>129</v>
      </c>
      <c r="B63" s="6">
        <v>45355</v>
      </c>
      <c r="C63" s="5" t="s">
        <v>40</v>
      </c>
      <c r="D63" s="5" t="s">
        <v>51</v>
      </c>
      <c r="E63" s="5" t="s">
        <v>71</v>
      </c>
      <c r="F63" s="5" t="s">
        <v>41</v>
      </c>
      <c r="G63" s="5" t="s">
        <v>42</v>
      </c>
      <c r="H63" s="5" t="s">
        <v>61</v>
      </c>
      <c r="I63" s="5" t="s">
        <v>65</v>
      </c>
      <c r="J63" s="9">
        <v>5</v>
      </c>
    </row>
    <row r="64" spans="1:10" ht="27.6" thickBot="1" x14ac:dyDescent="0.35">
      <c r="A64" s="8" t="s">
        <v>130</v>
      </c>
      <c r="B64" s="6">
        <v>45453</v>
      </c>
      <c r="C64" s="5" t="s">
        <v>79</v>
      </c>
      <c r="D64" s="5" t="s">
        <v>56</v>
      </c>
      <c r="E64" s="5" t="s">
        <v>34</v>
      </c>
      <c r="F64" s="5" t="s">
        <v>35</v>
      </c>
      <c r="G64" s="5" t="s">
        <v>47</v>
      </c>
      <c r="H64" s="5" t="s">
        <v>72</v>
      </c>
      <c r="I64" s="5" t="s">
        <v>53</v>
      </c>
      <c r="J64" s="9">
        <v>1</v>
      </c>
    </row>
    <row r="65" spans="1:10" ht="27.6" thickBot="1" x14ac:dyDescent="0.35">
      <c r="A65" s="8" t="s">
        <v>131</v>
      </c>
      <c r="B65" s="6">
        <v>45301</v>
      </c>
      <c r="C65" s="5" t="s">
        <v>85</v>
      </c>
      <c r="D65" s="5" t="s">
        <v>33</v>
      </c>
      <c r="E65" s="5" t="s">
        <v>80</v>
      </c>
      <c r="F65" s="5" t="s">
        <v>60</v>
      </c>
      <c r="G65" s="5" t="s">
        <v>47</v>
      </c>
      <c r="H65" s="5" t="s">
        <v>72</v>
      </c>
      <c r="I65" s="5" t="s">
        <v>65</v>
      </c>
      <c r="J65" s="9">
        <v>4</v>
      </c>
    </row>
    <row r="66" spans="1:10" ht="27.6" thickBot="1" x14ac:dyDescent="0.35">
      <c r="A66" s="8" t="s">
        <v>132</v>
      </c>
      <c r="B66" s="6">
        <v>45360</v>
      </c>
      <c r="C66" s="5" t="s">
        <v>50</v>
      </c>
      <c r="D66" s="5" t="s">
        <v>76</v>
      </c>
      <c r="E66" s="5" t="s">
        <v>34</v>
      </c>
      <c r="F66" s="5" t="s">
        <v>46</v>
      </c>
      <c r="G66" s="5" t="s">
        <v>36</v>
      </c>
      <c r="H66" s="5" t="s">
        <v>61</v>
      </c>
      <c r="I66" s="5" t="s">
        <v>43</v>
      </c>
      <c r="J66" s="9">
        <v>1</v>
      </c>
    </row>
    <row r="67" spans="1:10" ht="27.6" thickBot="1" x14ac:dyDescent="0.35">
      <c r="A67" s="8" t="s">
        <v>133</v>
      </c>
      <c r="B67" s="6">
        <v>45367</v>
      </c>
      <c r="C67" s="5" t="s">
        <v>70</v>
      </c>
      <c r="D67" s="5" t="s">
        <v>33</v>
      </c>
      <c r="E67" s="5" t="s">
        <v>71</v>
      </c>
      <c r="F67" s="5" t="s">
        <v>46</v>
      </c>
      <c r="G67" s="5" t="s">
        <v>67</v>
      </c>
      <c r="H67" s="5" t="s">
        <v>61</v>
      </c>
      <c r="I67" s="5" t="s">
        <v>38</v>
      </c>
      <c r="J67" s="9">
        <v>2</v>
      </c>
    </row>
    <row r="68" spans="1:10" ht="15" thickBot="1" x14ac:dyDescent="0.35">
      <c r="A68" s="8" t="s">
        <v>134</v>
      </c>
      <c r="B68" s="6">
        <v>45337</v>
      </c>
      <c r="C68" s="5" t="s">
        <v>55</v>
      </c>
      <c r="D68" s="5" t="s">
        <v>51</v>
      </c>
      <c r="E68" s="5" t="s">
        <v>45</v>
      </c>
      <c r="F68" s="5" t="s">
        <v>35</v>
      </c>
      <c r="G68" s="5" t="s">
        <v>67</v>
      </c>
      <c r="H68" s="5" t="s">
        <v>48</v>
      </c>
      <c r="I68" s="5" t="s">
        <v>65</v>
      </c>
      <c r="J68" s="9">
        <v>1</v>
      </c>
    </row>
    <row r="69" spans="1:10" ht="27.6" thickBot="1" x14ac:dyDescent="0.35">
      <c r="A69" s="8" t="s">
        <v>135</v>
      </c>
      <c r="B69" s="6">
        <v>45417</v>
      </c>
      <c r="C69" s="5" t="s">
        <v>55</v>
      </c>
      <c r="D69" s="5" t="s">
        <v>33</v>
      </c>
      <c r="E69" s="5" t="s">
        <v>45</v>
      </c>
      <c r="F69" s="5" t="s">
        <v>46</v>
      </c>
      <c r="G69" s="5" t="s">
        <v>42</v>
      </c>
      <c r="H69" s="5" t="s">
        <v>37</v>
      </c>
      <c r="I69" s="5" t="s">
        <v>62</v>
      </c>
      <c r="J69" s="9">
        <v>3</v>
      </c>
    </row>
    <row r="70" spans="1:10" ht="27.6" thickBot="1" x14ac:dyDescent="0.35">
      <c r="A70" s="8" t="s">
        <v>136</v>
      </c>
      <c r="B70" s="6">
        <v>45408</v>
      </c>
      <c r="C70" s="5" t="s">
        <v>40</v>
      </c>
      <c r="D70" s="5" t="s">
        <v>56</v>
      </c>
      <c r="E70" s="5" t="s">
        <v>71</v>
      </c>
      <c r="F70" s="5" t="s">
        <v>60</v>
      </c>
      <c r="G70" s="5" t="s">
        <v>47</v>
      </c>
      <c r="H70" s="5" t="s">
        <v>37</v>
      </c>
      <c r="I70" s="5" t="s">
        <v>38</v>
      </c>
      <c r="J70" s="9">
        <v>0</v>
      </c>
    </row>
    <row r="71" spans="1:10" ht="15" thickBot="1" x14ac:dyDescent="0.35">
      <c r="A71" s="8" t="s">
        <v>137</v>
      </c>
      <c r="B71" s="6">
        <v>45302</v>
      </c>
      <c r="C71" s="5" t="s">
        <v>85</v>
      </c>
      <c r="D71" s="5" t="s">
        <v>56</v>
      </c>
      <c r="E71" s="5" t="s">
        <v>45</v>
      </c>
      <c r="F71" s="5" t="s">
        <v>41</v>
      </c>
      <c r="G71" s="5" t="s">
        <v>42</v>
      </c>
      <c r="H71" s="5" t="s">
        <v>61</v>
      </c>
      <c r="I71" s="5" t="s">
        <v>65</v>
      </c>
      <c r="J71" s="9">
        <v>4</v>
      </c>
    </row>
    <row r="72" spans="1:10" ht="27.6" thickBot="1" x14ac:dyDescent="0.35">
      <c r="A72" s="8" t="s">
        <v>138</v>
      </c>
      <c r="B72" s="6">
        <v>45430</v>
      </c>
      <c r="C72" s="5" t="s">
        <v>79</v>
      </c>
      <c r="D72" s="5" t="s">
        <v>74</v>
      </c>
      <c r="E72" s="5" t="s">
        <v>59</v>
      </c>
      <c r="F72" s="5" t="s">
        <v>35</v>
      </c>
      <c r="G72" s="5" t="s">
        <v>36</v>
      </c>
      <c r="H72" s="5" t="s">
        <v>61</v>
      </c>
      <c r="I72" s="5" t="s">
        <v>38</v>
      </c>
      <c r="J72" s="9">
        <v>2</v>
      </c>
    </row>
    <row r="73" spans="1:10" ht="27.6" thickBot="1" x14ac:dyDescent="0.35">
      <c r="A73" s="8" t="s">
        <v>139</v>
      </c>
      <c r="B73" s="6">
        <v>45448</v>
      </c>
      <c r="C73" s="5" t="s">
        <v>40</v>
      </c>
      <c r="D73" s="5" t="s">
        <v>56</v>
      </c>
      <c r="E73" s="5" t="s">
        <v>80</v>
      </c>
      <c r="F73" s="5" t="s">
        <v>60</v>
      </c>
      <c r="G73" s="5" t="s">
        <v>36</v>
      </c>
      <c r="H73" s="5" t="s">
        <v>72</v>
      </c>
      <c r="I73" s="5" t="s">
        <v>62</v>
      </c>
      <c r="J73" s="9">
        <v>4</v>
      </c>
    </row>
    <row r="74" spans="1:10" ht="15" thickBot="1" x14ac:dyDescent="0.35">
      <c r="A74" s="8" t="s">
        <v>140</v>
      </c>
      <c r="B74" s="6">
        <v>45352</v>
      </c>
      <c r="C74" s="5" t="s">
        <v>55</v>
      </c>
      <c r="D74" s="5" t="s">
        <v>56</v>
      </c>
      <c r="E74" s="5" t="s">
        <v>71</v>
      </c>
      <c r="F74" s="5" t="s">
        <v>46</v>
      </c>
      <c r="G74" s="5" t="s">
        <v>36</v>
      </c>
      <c r="H74" s="5" t="s">
        <v>61</v>
      </c>
      <c r="I74" s="5" t="s">
        <v>57</v>
      </c>
      <c r="J74" s="9">
        <v>1</v>
      </c>
    </row>
    <row r="75" spans="1:10" ht="27.6" thickBot="1" x14ac:dyDescent="0.35">
      <c r="A75" s="8" t="s">
        <v>141</v>
      </c>
      <c r="B75" s="6">
        <v>45460</v>
      </c>
      <c r="C75" s="5" t="s">
        <v>55</v>
      </c>
      <c r="D75" s="5" t="s">
        <v>56</v>
      </c>
      <c r="E75" s="5" t="s">
        <v>59</v>
      </c>
      <c r="F75" s="5" t="s">
        <v>35</v>
      </c>
      <c r="G75" s="5" t="s">
        <v>67</v>
      </c>
      <c r="H75" s="5" t="s">
        <v>48</v>
      </c>
      <c r="I75" s="5" t="s">
        <v>62</v>
      </c>
      <c r="J75" s="9">
        <v>3</v>
      </c>
    </row>
    <row r="76" spans="1:10" ht="27.6" thickBot="1" x14ac:dyDescent="0.35">
      <c r="A76" s="8" t="s">
        <v>142</v>
      </c>
      <c r="B76" s="6">
        <v>45399</v>
      </c>
      <c r="C76" s="5" t="s">
        <v>85</v>
      </c>
      <c r="D76" s="5" t="s">
        <v>76</v>
      </c>
      <c r="E76" s="5" t="s">
        <v>80</v>
      </c>
      <c r="F76" s="5" t="s">
        <v>60</v>
      </c>
      <c r="G76" s="5" t="s">
        <v>42</v>
      </c>
      <c r="H76" s="5" t="s">
        <v>37</v>
      </c>
      <c r="I76" s="5" t="s">
        <v>43</v>
      </c>
      <c r="J76" s="9">
        <v>4</v>
      </c>
    </row>
    <row r="77" spans="1:10" ht="15" thickBot="1" x14ac:dyDescent="0.35">
      <c r="A77" s="8" t="s">
        <v>143</v>
      </c>
      <c r="B77" s="6">
        <v>45437</v>
      </c>
      <c r="C77" s="5" t="s">
        <v>55</v>
      </c>
      <c r="D77" s="5" t="s">
        <v>74</v>
      </c>
      <c r="E77" s="5" t="s">
        <v>52</v>
      </c>
      <c r="F77" s="5" t="s">
        <v>60</v>
      </c>
      <c r="G77" s="5" t="s">
        <v>36</v>
      </c>
      <c r="H77" s="5" t="s">
        <v>48</v>
      </c>
      <c r="I77" s="5" t="s">
        <v>57</v>
      </c>
      <c r="J77" s="9">
        <v>4</v>
      </c>
    </row>
    <row r="78" spans="1:10" ht="27.6" thickBot="1" x14ac:dyDescent="0.35">
      <c r="A78" s="8" t="s">
        <v>144</v>
      </c>
      <c r="B78" s="6">
        <v>45330</v>
      </c>
      <c r="C78" s="5" t="s">
        <v>79</v>
      </c>
      <c r="D78" s="5" t="s">
        <v>74</v>
      </c>
      <c r="E78" s="5" t="s">
        <v>52</v>
      </c>
      <c r="F78" s="5" t="s">
        <v>35</v>
      </c>
      <c r="G78" s="5" t="s">
        <v>47</v>
      </c>
      <c r="H78" s="5" t="s">
        <v>61</v>
      </c>
      <c r="I78" s="5" t="s">
        <v>53</v>
      </c>
      <c r="J78" s="9">
        <v>2</v>
      </c>
    </row>
    <row r="79" spans="1:10" ht="27.6" thickBot="1" x14ac:dyDescent="0.35">
      <c r="A79" s="8" t="s">
        <v>145</v>
      </c>
      <c r="B79" s="6">
        <v>45382</v>
      </c>
      <c r="C79" s="5" t="s">
        <v>79</v>
      </c>
      <c r="D79" s="5" t="s">
        <v>76</v>
      </c>
      <c r="E79" s="5" t="s">
        <v>59</v>
      </c>
      <c r="F79" s="5" t="s">
        <v>35</v>
      </c>
      <c r="G79" s="5" t="s">
        <v>42</v>
      </c>
      <c r="H79" s="5" t="s">
        <v>48</v>
      </c>
      <c r="I79" s="5" t="s">
        <v>38</v>
      </c>
      <c r="J79" s="9">
        <v>0</v>
      </c>
    </row>
    <row r="80" spans="1:10" ht="27.6" thickBot="1" x14ac:dyDescent="0.35">
      <c r="A80" s="8" t="s">
        <v>146</v>
      </c>
      <c r="B80" s="6">
        <v>45329</v>
      </c>
      <c r="C80" s="5" t="s">
        <v>40</v>
      </c>
      <c r="D80" s="5" t="s">
        <v>51</v>
      </c>
      <c r="E80" s="5" t="s">
        <v>80</v>
      </c>
      <c r="F80" s="5" t="s">
        <v>35</v>
      </c>
      <c r="G80" s="5" t="s">
        <v>67</v>
      </c>
      <c r="H80" s="5" t="s">
        <v>61</v>
      </c>
      <c r="I80" s="5" t="s">
        <v>38</v>
      </c>
      <c r="J80" s="9">
        <v>5</v>
      </c>
    </row>
    <row r="81" spans="1:10" ht="27.6" thickBot="1" x14ac:dyDescent="0.35">
      <c r="A81" s="8" t="s">
        <v>147</v>
      </c>
      <c r="B81" s="6">
        <v>45375</v>
      </c>
      <c r="C81" s="5" t="s">
        <v>70</v>
      </c>
      <c r="D81" s="5" t="s">
        <v>33</v>
      </c>
      <c r="E81" s="5" t="s">
        <v>34</v>
      </c>
      <c r="F81" s="5" t="s">
        <v>60</v>
      </c>
      <c r="G81" s="5" t="s">
        <v>36</v>
      </c>
      <c r="H81" s="5" t="s">
        <v>61</v>
      </c>
      <c r="I81" s="5" t="s">
        <v>43</v>
      </c>
      <c r="J81" s="9">
        <v>4</v>
      </c>
    </row>
    <row r="82" spans="1:10" ht="27.6" thickBot="1" x14ac:dyDescent="0.35">
      <c r="A82" s="8" t="s">
        <v>148</v>
      </c>
      <c r="B82" s="6">
        <v>45320</v>
      </c>
      <c r="C82" s="5" t="s">
        <v>64</v>
      </c>
      <c r="D82" s="5" t="s">
        <v>51</v>
      </c>
      <c r="E82" s="5" t="s">
        <v>59</v>
      </c>
      <c r="F82" s="5" t="s">
        <v>35</v>
      </c>
      <c r="G82" s="5" t="s">
        <v>36</v>
      </c>
      <c r="H82" s="5" t="s">
        <v>72</v>
      </c>
      <c r="I82" s="5" t="s">
        <v>43</v>
      </c>
      <c r="J82" s="9">
        <v>0</v>
      </c>
    </row>
    <row r="83" spans="1:10" ht="27.6" thickBot="1" x14ac:dyDescent="0.35">
      <c r="A83" s="8" t="s">
        <v>149</v>
      </c>
      <c r="B83" s="6">
        <v>45404</v>
      </c>
      <c r="C83" s="5" t="s">
        <v>70</v>
      </c>
      <c r="D83" s="5" t="s">
        <v>51</v>
      </c>
      <c r="E83" s="5" t="s">
        <v>80</v>
      </c>
      <c r="F83" s="5" t="s">
        <v>46</v>
      </c>
      <c r="G83" s="5" t="s">
        <v>67</v>
      </c>
      <c r="H83" s="5" t="s">
        <v>48</v>
      </c>
      <c r="I83" s="5" t="s">
        <v>38</v>
      </c>
      <c r="J83" s="9">
        <v>3</v>
      </c>
    </row>
    <row r="84" spans="1:10" ht="15" thickBot="1" x14ac:dyDescent="0.35">
      <c r="A84" s="8" t="s">
        <v>150</v>
      </c>
      <c r="B84" s="6">
        <v>45424</v>
      </c>
      <c r="C84" s="5" t="s">
        <v>40</v>
      </c>
      <c r="D84" s="5" t="s">
        <v>74</v>
      </c>
      <c r="E84" s="5" t="s">
        <v>71</v>
      </c>
      <c r="F84" s="5" t="s">
        <v>46</v>
      </c>
      <c r="G84" s="5" t="s">
        <v>42</v>
      </c>
      <c r="H84" s="5" t="s">
        <v>37</v>
      </c>
      <c r="I84" s="5" t="s">
        <v>57</v>
      </c>
      <c r="J84" s="9">
        <v>4</v>
      </c>
    </row>
    <row r="85" spans="1:10" ht="27.6" thickBot="1" x14ac:dyDescent="0.35">
      <c r="A85" s="8" t="s">
        <v>151</v>
      </c>
      <c r="B85" s="6">
        <v>45319</v>
      </c>
      <c r="C85" s="5" t="s">
        <v>50</v>
      </c>
      <c r="D85" s="5" t="s">
        <v>33</v>
      </c>
      <c r="E85" s="5" t="s">
        <v>71</v>
      </c>
      <c r="F85" s="5" t="s">
        <v>60</v>
      </c>
      <c r="G85" s="5" t="s">
        <v>47</v>
      </c>
      <c r="H85" s="5" t="s">
        <v>72</v>
      </c>
      <c r="I85" s="5" t="s">
        <v>53</v>
      </c>
      <c r="J85" s="9">
        <v>2</v>
      </c>
    </row>
    <row r="86" spans="1:10" ht="15" thickBot="1" x14ac:dyDescent="0.35">
      <c r="A86" s="8" t="s">
        <v>152</v>
      </c>
      <c r="B86" s="6">
        <v>45308</v>
      </c>
      <c r="C86" s="5" t="s">
        <v>64</v>
      </c>
      <c r="D86" s="5" t="s">
        <v>56</v>
      </c>
      <c r="E86" s="5" t="s">
        <v>52</v>
      </c>
      <c r="F86" s="5" t="s">
        <v>41</v>
      </c>
      <c r="G86" s="5" t="s">
        <v>67</v>
      </c>
      <c r="H86" s="5" t="s">
        <v>72</v>
      </c>
      <c r="I86" s="5" t="s">
        <v>65</v>
      </c>
      <c r="J86" s="9">
        <v>3</v>
      </c>
    </row>
    <row r="87" spans="1:10" ht="27.6" thickBot="1" x14ac:dyDescent="0.35">
      <c r="A87" s="8" t="s">
        <v>153</v>
      </c>
      <c r="B87" s="6">
        <v>45302</v>
      </c>
      <c r="C87" s="5" t="s">
        <v>85</v>
      </c>
      <c r="D87" s="5" t="s">
        <v>56</v>
      </c>
      <c r="E87" s="5" t="s">
        <v>59</v>
      </c>
      <c r="F87" s="5" t="s">
        <v>35</v>
      </c>
      <c r="G87" s="5" t="s">
        <v>36</v>
      </c>
      <c r="H87" s="5" t="s">
        <v>72</v>
      </c>
      <c r="I87" s="5" t="s">
        <v>62</v>
      </c>
      <c r="J87" s="9">
        <v>2</v>
      </c>
    </row>
    <row r="88" spans="1:10" ht="27.6" thickBot="1" x14ac:dyDescent="0.35">
      <c r="A88" s="8" t="s">
        <v>154</v>
      </c>
      <c r="B88" s="6">
        <v>45457</v>
      </c>
      <c r="C88" s="5" t="s">
        <v>70</v>
      </c>
      <c r="D88" s="5" t="s">
        <v>56</v>
      </c>
      <c r="E88" s="5" t="s">
        <v>71</v>
      </c>
      <c r="F88" s="5" t="s">
        <v>46</v>
      </c>
      <c r="G88" s="5" t="s">
        <v>67</v>
      </c>
      <c r="H88" s="5" t="s">
        <v>37</v>
      </c>
      <c r="I88" s="5" t="s">
        <v>53</v>
      </c>
      <c r="J88" s="9">
        <v>1</v>
      </c>
    </row>
    <row r="89" spans="1:10" ht="15" thickBot="1" x14ac:dyDescent="0.35">
      <c r="A89" s="8" t="s">
        <v>155</v>
      </c>
      <c r="B89" s="6">
        <v>45373</v>
      </c>
      <c r="C89" s="5" t="s">
        <v>32</v>
      </c>
      <c r="D89" s="5" t="s">
        <v>74</v>
      </c>
      <c r="E89" s="5" t="s">
        <v>45</v>
      </c>
      <c r="F89" s="5" t="s">
        <v>46</v>
      </c>
      <c r="G89" s="5" t="s">
        <v>36</v>
      </c>
      <c r="H89" s="5" t="s">
        <v>37</v>
      </c>
      <c r="I89" s="5" t="s">
        <v>57</v>
      </c>
      <c r="J89" s="9">
        <v>2</v>
      </c>
    </row>
    <row r="90" spans="1:10" ht="15" thickBot="1" x14ac:dyDescent="0.35">
      <c r="A90" s="8" t="s">
        <v>156</v>
      </c>
      <c r="B90" s="6">
        <v>45445</v>
      </c>
      <c r="C90" s="5" t="s">
        <v>79</v>
      </c>
      <c r="D90" s="5" t="s">
        <v>74</v>
      </c>
      <c r="E90" s="5" t="s">
        <v>34</v>
      </c>
      <c r="F90" s="5" t="s">
        <v>41</v>
      </c>
      <c r="G90" s="5" t="s">
        <v>36</v>
      </c>
      <c r="H90" s="5" t="s">
        <v>61</v>
      </c>
      <c r="I90" s="5" t="s">
        <v>65</v>
      </c>
      <c r="J90" s="9">
        <v>0</v>
      </c>
    </row>
    <row r="91" spans="1:10" ht="27.6" thickBot="1" x14ac:dyDescent="0.35">
      <c r="A91" s="8" t="s">
        <v>157</v>
      </c>
      <c r="B91" s="6">
        <v>45294</v>
      </c>
      <c r="C91" s="5" t="s">
        <v>40</v>
      </c>
      <c r="D91" s="5" t="s">
        <v>51</v>
      </c>
      <c r="E91" s="5" t="s">
        <v>59</v>
      </c>
      <c r="F91" s="5" t="s">
        <v>35</v>
      </c>
      <c r="G91" s="5" t="s">
        <v>36</v>
      </c>
      <c r="H91" s="5" t="s">
        <v>72</v>
      </c>
      <c r="I91" s="5" t="s">
        <v>38</v>
      </c>
      <c r="J91" s="9">
        <v>1</v>
      </c>
    </row>
    <row r="92" spans="1:10" ht="27.6" thickBot="1" x14ac:dyDescent="0.35">
      <c r="A92" s="8" t="s">
        <v>158</v>
      </c>
      <c r="B92" s="6">
        <v>45458</v>
      </c>
      <c r="C92" s="5" t="s">
        <v>85</v>
      </c>
      <c r="D92" s="5" t="s">
        <v>76</v>
      </c>
      <c r="E92" s="5" t="s">
        <v>34</v>
      </c>
      <c r="F92" s="5" t="s">
        <v>41</v>
      </c>
      <c r="G92" s="5" t="s">
        <v>47</v>
      </c>
      <c r="H92" s="5" t="s">
        <v>48</v>
      </c>
      <c r="I92" s="5" t="s">
        <v>65</v>
      </c>
      <c r="J92" s="9">
        <v>4</v>
      </c>
    </row>
    <row r="93" spans="1:10" ht="27.6" thickBot="1" x14ac:dyDescent="0.35">
      <c r="A93" s="8" t="s">
        <v>159</v>
      </c>
      <c r="B93" s="6">
        <v>45369</v>
      </c>
      <c r="C93" s="5" t="s">
        <v>32</v>
      </c>
      <c r="D93" s="5" t="s">
        <v>51</v>
      </c>
      <c r="E93" s="5" t="s">
        <v>80</v>
      </c>
      <c r="F93" s="5" t="s">
        <v>35</v>
      </c>
      <c r="G93" s="5" t="s">
        <v>42</v>
      </c>
      <c r="H93" s="5" t="s">
        <v>48</v>
      </c>
      <c r="I93" s="5" t="s">
        <v>43</v>
      </c>
      <c r="J93" s="9">
        <v>1</v>
      </c>
    </row>
    <row r="94" spans="1:10" ht="27.6" thickBot="1" x14ac:dyDescent="0.35">
      <c r="A94" s="8" t="s">
        <v>160</v>
      </c>
      <c r="B94" s="6">
        <v>45389</v>
      </c>
      <c r="C94" s="5" t="s">
        <v>50</v>
      </c>
      <c r="D94" s="5" t="s">
        <v>76</v>
      </c>
      <c r="E94" s="5" t="s">
        <v>71</v>
      </c>
      <c r="F94" s="5" t="s">
        <v>41</v>
      </c>
      <c r="G94" s="5" t="s">
        <v>67</v>
      </c>
      <c r="H94" s="5" t="s">
        <v>72</v>
      </c>
      <c r="I94" s="5" t="s">
        <v>43</v>
      </c>
      <c r="J94" s="9">
        <v>5</v>
      </c>
    </row>
    <row r="95" spans="1:10" ht="27.6" thickBot="1" x14ac:dyDescent="0.35">
      <c r="A95" s="8" t="s">
        <v>161</v>
      </c>
      <c r="B95" s="6">
        <v>45456</v>
      </c>
      <c r="C95" s="5" t="s">
        <v>85</v>
      </c>
      <c r="D95" s="5" t="s">
        <v>56</v>
      </c>
      <c r="E95" s="5" t="s">
        <v>45</v>
      </c>
      <c r="F95" s="5" t="s">
        <v>35</v>
      </c>
      <c r="G95" s="5" t="s">
        <v>42</v>
      </c>
      <c r="H95" s="5" t="s">
        <v>48</v>
      </c>
      <c r="I95" s="5" t="s">
        <v>43</v>
      </c>
      <c r="J95" s="9">
        <v>0</v>
      </c>
    </row>
    <row r="96" spans="1:10" ht="27.6" thickBot="1" x14ac:dyDescent="0.35">
      <c r="A96" s="8" t="s">
        <v>162</v>
      </c>
      <c r="B96" s="6">
        <v>45342</v>
      </c>
      <c r="C96" s="5" t="s">
        <v>40</v>
      </c>
      <c r="D96" s="5" t="s">
        <v>51</v>
      </c>
      <c r="E96" s="5" t="s">
        <v>45</v>
      </c>
      <c r="F96" s="5" t="s">
        <v>35</v>
      </c>
      <c r="G96" s="5" t="s">
        <v>42</v>
      </c>
      <c r="H96" s="5" t="s">
        <v>61</v>
      </c>
      <c r="I96" s="5" t="s">
        <v>62</v>
      </c>
      <c r="J96" s="9">
        <v>3</v>
      </c>
    </row>
    <row r="97" spans="1:10" ht="27.6" thickBot="1" x14ac:dyDescent="0.35">
      <c r="A97" s="8" t="s">
        <v>163</v>
      </c>
      <c r="B97" s="6">
        <v>45313</v>
      </c>
      <c r="C97" s="5" t="s">
        <v>55</v>
      </c>
      <c r="D97" s="5" t="s">
        <v>56</v>
      </c>
      <c r="E97" s="5" t="s">
        <v>59</v>
      </c>
      <c r="F97" s="5" t="s">
        <v>35</v>
      </c>
      <c r="G97" s="5" t="s">
        <v>47</v>
      </c>
      <c r="H97" s="5" t="s">
        <v>61</v>
      </c>
      <c r="I97" s="5" t="s">
        <v>62</v>
      </c>
      <c r="J97" s="9">
        <v>5</v>
      </c>
    </row>
    <row r="98" spans="1:10" ht="27.6" thickBot="1" x14ac:dyDescent="0.35">
      <c r="A98" s="8" t="s">
        <v>164</v>
      </c>
      <c r="B98" s="6">
        <v>45403</v>
      </c>
      <c r="C98" s="5" t="s">
        <v>64</v>
      </c>
      <c r="D98" s="5" t="s">
        <v>74</v>
      </c>
      <c r="E98" s="5" t="s">
        <v>52</v>
      </c>
      <c r="F98" s="5" t="s">
        <v>46</v>
      </c>
      <c r="G98" s="5" t="s">
        <v>42</v>
      </c>
      <c r="H98" s="5" t="s">
        <v>48</v>
      </c>
      <c r="I98" s="5" t="s">
        <v>62</v>
      </c>
      <c r="J98" s="9">
        <v>3</v>
      </c>
    </row>
    <row r="99" spans="1:10" ht="15" thickBot="1" x14ac:dyDescent="0.35">
      <c r="A99" s="8" t="s">
        <v>165</v>
      </c>
      <c r="B99" s="6">
        <v>45390</v>
      </c>
      <c r="C99" s="5" t="s">
        <v>64</v>
      </c>
      <c r="D99" s="5" t="s">
        <v>76</v>
      </c>
      <c r="E99" s="5" t="s">
        <v>71</v>
      </c>
      <c r="F99" s="5" t="s">
        <v>46</v>
      </c>
      <c r="G99" s="5" t="s">
        <v>67</v>
      </c>
      <c r="H99" s="5" t="s">
        <v>72</v>
      </c>
      <c r="I99" s="5" t="s">
        <v>65</v>
      </c>
      <c r="J99" s="9">
        <v>0</v>
      </c>
    </row>
    <row r="100" spans="1:10" ht="27.6" thickBot="1" x14ac:dyDescent="0.35">
      <c r="A100" s="8" t="s">
        <v>166</v>
      </c>
      <c r="B100" s="6">
        <v>45464</v>
      </c>
      <c r="C100" s="5" t="s">
        <v>85</v>
      </c>
      <c r="D100" s="5" t="s">
        <v>33</v>
      </c>
      <c r="E100" s="5" t="s">
        <v>34</v>
      </c>
      <c r="F100" s="5" t="s">
        <v>35</v>
      </c>
      <c r="G100" s="5" t="s">
        <v>67</v>
      </c>
      <c r="H100" s="5" t="s">
        <v>61</v>
      </c>
      <c r="I100" s="5" t="s">
        <v>62</v>
      </c>
      <c r="J100" s="9">
        <v>4</v>
      </c>
    </row>
    <row r="101" spans="1:10" ht="27" x14ac:dyDescent="0.3">
      <c r="A101" s="13" t="s">
        <v>167</v>
      </c>
      <c r="B101" s="14">
        <v>45317</v>
      </c>
      <c r="C101" s="15" t="s">
        <v>70</v>
      </c>
      <c r="D101" s="15" t="s">
        <v>76</v>
      </c>
      <c r="E101" s="15" t="s">
        <v>71</v>
      </c>
      <c r="F101" s="15" t="s">
        <v>46</v>
      </c>
      <c r="G101" s="15" t="s">
        <v>42</v>
      </c>
      <c r="H101" s="15" t="s">
        <v>72</v>
      </c>
      <c r="I101" s="15" t="s">
        <v>38</v>
      </c>
      <c r="J101" s="16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FADD4-9E0B-4982-B828-5211EBC3F1B2}">
  <sheetPr codeName="Sheet3"/>
  <dimension ref="A1:B207"/>
  <sheetViews>
    <sheetView workbookViewId="0">
      <selection activeCell="N31" sqref="N31"/>
    </sheetView>
  </sheetViews>
  <sheetFormatPr defaultRowHeight="14.4" x14ac:dyDescent="0.3"/>
  <cols>
    <col min="1" max="1" width="18.44140625" bestFit="1" customWidth="1"/>
    <col min="2" max="2" width="15.88671875" bestFit="1" customWidth="1"/>
    <col min="3" max="7" width="2" bestFit="1" customWidth="1"/>
    <col min="8" max="8" width="10.77734375" bestFit="1" customWidth="1"/>
    <col min="9" max="13" width="3" bestFit="1" customWidth="1"/>
    <col min="14" max="14" width="19.5546875" bestFit="1" customWidth="1"/>
    <col min="15" max="19" width="3" bestFit="1" customWidth="1"/>
    <col min="20" max="20" width="19.5546875" bestFit="1" customWidth="1"/>
    <col min="21" max="25" width="3" bestFit="1" customWidth="1"/>
    <col min="26" max="26" width="23.33203125" bestFit="1" customWidth="1"/>
    <col min="27" max="29" width="24.33203125" bestFit="1" customWidth="1"/>
  </cols>
  <sheetData>
    <row r="1" spans="1:2" x14ac:dyDescent="0.3">
      <c r="A1" s="17" t="s">
        <v>168</v>
      </c>
      <c r="B1" t="s">
        <v>170</v>
      </c>
    </row>
    <row r="2" spans="1:2" x14ac:dyDescent="0.3">
      <c r="A2" s="18" t="s">
        <v>70</v>
      </c>
      <c r="B2">
        <v>25</v>
      </c>
    </row>
    <row r="3" spans="1:2" x14ac:dyDescent="0.3">
      <c r="A3" s="19" t="s">
        <v>48</v>
      </c>
      <c r="B3">
        <v>3</v>
      </c>
    </row>
    <row r="4" spans="1:2" x14ac:dyDescent="0.3">
      <c r="A4" s="20" t="s">
        <v>51</v>
      </c>
      <c r="B4">
        <v>3</v>
      </c>
    </row>
    <row r="5" spans="1:2" x14ac:dyDescent="0.3">
      <c r="A5" s="21" t="s">
        <v>46</v>
      </c>
      <c r="B5">
        <v>3</v>
      </c>
    </row>
    <row r="6" spans="1:2" x14ac:dyDescent="0.3">
      <c r="A6" s="19" t="s">
        <v>61</v>
      </c>
      <c r="B6">
        <v>11</v>
      </c>
    </row>
    <row r="7" spans="1:2" x14ac:dyDescent="0.3">
      <c r="A7" s="20" t="s">
        <v>74</v>
      </c>
      <c r="B7">
        <v>5</v>
      </c>
    </row>
    <row r="8" spans="1:2" x14ac:dyDescent="0.3">
      <c r="A8" s="21" t="s">
        <v>35</v>
      </c>
      <c r="B8">
        <v>5</v>
      </c>
    </row>
    <row r="9" spans="1:2" x14ac:dyDescent="0.3">
      <c r="A9" s="20" t="s">
        <v>33</v>
      </c>
      <c r="B9">
        <v>6</v>
      </c>
    </row>
    <row r="10" spans="1:2" x14ac:dyDescent="0.3">
      <c r="A10" s="21" t="s">
        <v>60</v>
      </c>
      <c r="B10">
        <v>4</v>
      </c>
    </row>
    <row r="11" spans="1:2" x14ac:dyDescent="0.3">
      <c r="A11" s="21" t="s">
        <v>46</v>
      </c>
      <c r="B11">
        <v>2</v>
      </c>
    </row>
    <row r="12" spans="1:2" x14ac:dyDescent="0.3">
      <c r="A12" s="19" t="s">
        <v>37</v>
      </c>
      <c r="B12">
        <v>1</v>
      </c>
    </row>
    <row r="13" spans="1:2" x14ac:dyDescent="0.3">
      <c r="A13" s="20" t="s">
        <v>56</v>
      </c>
      <c r="B13">
        <v>1</v>
      </c>
    </row>
    <row r="14" spans="1:2" x14ac:dyDescent="0.3">
      <c r="A14" s="21" t="s">
        <v>46</v>
      </c>
      <c r="B14">
        <v>1</v>
      </c>
    </row>
    <row r="15" spans="1:2" x14ac:dyDescent="0.3">
      <c r="A15" s="20" t="s">
        <v>51</v>
      </c>
      <c r="B15">
        <v>0</v>
      </c>
    </row>
    <row r="16" spans="1:2" x14ac:dyDescent="0.3">
      <c r="A16" s="21" t="s">
        <v>46</v>
      </c>
      <c r="B16">
        <v>0</v>
      </c>
    </row>
    <row r="17" spans="1:2" x14ac:dyDescent="0.3">
      <c r="A17" s="19" t="s">
        <v>72</v>
      </c>
      <c r="B17">
        <v>10</v>
      </c>
    </row>
    <row r="18" spans="1:2" x14ac:dyDescent="0.3">
      <c r="A18" s="20" t="s">
        <v>51</v>
      </c>
      <c r="B18">
        <v>5</v>
      </c>
    </row>
    <row r="19" spans="1:2" x14ac:dyDescent="0.3">
      <c r="A19" s="21" t="s">
        <v>35</v>
      </c>
      <c r="B19">
        <v>5</v>
      </c>
    </row>
    <row r="20" spans="1:2" x14ac:dyDescent="0.3">
      <c r="A20" s="20" t="s">
        <v>76</v>
      </c>
      <c r="B20">
        <v>5</v>
      </c>
    </row>
    <row r="21" spans="1:2" x14ac:dyDescent="0.3">
      <c r="A21" s="21" t="s">
        <v>35</v>
      </c>
      <c r="B21">
        <v>3</v>
      </c>
    </row>
    <row r="22" spans="1:2" x14ac:dyDescent="0.3">
      <c r="A22" s="21" t="s">
        <v>46</v>
      </c>
      <c r="B22">
        <v>2</v>
      </c>
    </row>
    <row r="23" spans="1:2" x14ac:dyDescent="0.3">
      <c r="A23" s="18" t="s">
        <v>55</v>
      </c>
      <c r="B23">
        <v>34</v>
      </c>
    </row>
    <row r="24" spans="1:2" x14ac:dyDescent="0.3">
      <c r="A24" s="19" t="s">
        <v>48</v>
      </c>
      <c r="B24">
        <v>8</v>
      </c>
    </row>
    <row r="25" spans="1:2" x14ac:dyDescent="0.3">
      <c r="A25" s="20" t="s">
        <v>56</v>
      </c>
      <c r="B25">
        <v>3</v>
      </c>
    </row>
    <row r="26" spans="1:2" x14ac:dyDescent="0.3">
      <c r="A26" s="21" t="s">
        <v>35</v>
      </c>
      <c r="B26">
        <v>3</v>
      </c>
    </row>
    <row r="27" spans="1:2" x14ac:dyDescent="0.3">
      <c r="A27" s="20" t="s">
        <v>51</v>
      </c>
      <c r="B27">
        <v>1</v>
      </c>
    </row>
    <row r="28" spans="1:2" x14ac:dyDescent="0.3">
      <c r="A28" s="21" t="s">
        <v>35</v>
      </c>
      <c r="B28">
        <v>1</v>
      </c>
    </row>
    <row r="29" spans="1:2" x14ac:dyDescent="0.3">
      <c r="A29" s="20" t="s">
        <v>74</v>
      </c>
      <c r="B29">
        <v>4</v>
      </c>
    </row>
    <row r="30" spans="1:2" x14ac:dyDescent="0.3">
      <c r="A30" s="21" t="s">
        <v>60</v>
      </c>
      <c r="B30">
        <v>4</v>
      </c>
    </row>
    <row r="31" spans="1:2" x14ac:dyDescent="0.3">
      <c r="A31" s="19" t="s">
        <v>61</v>
      </c>
      <c r="B31">
        <v>19</v>
      </c>
    </row>
    <row r="32" spans="1:2" x14ac:dyDescent="0.3">
      <c r="A32" s="20" t="s">
        <v>56</v>
      </c>
      <c r="B32">
        <v>10</v>
      </c>
    </row>
    <row r="33" spans="1:2" x14ac:dyDescent="0.3">
      <c r="A33" s="21" t="s">
        <v>35</v>
      </c>
      <c r="B33">
        <v>5</v>
      </c>
    </row>
    <row r="34" spans="1:2" x14ac:dyDescent="0.3">
      <c r="A34" s="21" t="s">
        <v>60</v>
      </c>
      <c r="B34">
        <v>4</v>
      </c>
    </row>
    <row r="35" spans="1:2" x14ac:dyDescent="0.3">
      <c r="A35" s="21" t="s">
        <v>46</v>
      </c>
      <c r="B35">
        <v>1</v>
      </c>
    </row>
    <row r="36" spans="1:2" x14ac:dyDescent="0.3">
      <c r="A36" s="20" t="s">
        <v>33</v>
      </c>
      <c r="B36">
        <v>7</v>
      </c>
    </row>
    <row r="37" spans="1:2" x14ac:dyDescent="0.3">
      <c r="A37" s="21" t="s">
        <v>46</v>
      </c>
      <c r="B37">
        <v>7</v>
      </c>
    </row>
    <row r="38" spans="1:2" x14ac:dyDescent="0.3">
      <c r="A38" s="20" t="s">
        <v>76</v>
      </c>
      <c r="B38">
        <v>2</v>
      </c>
    </row>
    <row r="39" spans="1:2" x14ac:dyDescent="0.3">
      <c r="A39" s="21" t="s">
        <v>41</v>
      </c>
      <c r="B39">
        <v>2</v>
      </c>
    </row>
    <row r="40" spans="1:2" x14ac:dyDescent="0.3">
      <c r="A40" s="19" t="s">
        <v>37</v>
      </c>
      <c r="B40">
        <v>6</v>
      </c>
    </row>
    <row r="41" spans="1:2" x14ac:dyDescent="0.3">
      <c r="A41" s="20" t="s">
        <v>56</v>
      </c>
      <c r="B41">
        <v>0</v>
      </c>
    </row>
    <row r="42" spans="1:2" x14ac:dyDescent="0.3">
      <c r="A42" s="21" t="s">
        <v>35</v>
      </c>
      <c r="B42">
        <v>0</v>
      </c>
    </row>
    <row r="43" spans="1:2" x14ac:dyDescent="0.3">
      <c r="A43" s="20" t="s">
        <v>33</v>
      </c>
      <c r="B43">
        <v>6</v>
      </c>
    </row>
    <row r="44" spans="1:2" x14ac:dyDescent="0.3">
      <c r="A44" s="21" t="s">
        <v>41</v>
      </c>
      <c r="B44">
        <v>3</v>
      </c>
    </row>
    <row r="45" spans="1:2" x14ac:dyDescent="0.3">
      <c r="A45" s="21" t="s">
        <v>46</v>
      </c>
      <c r="B45">
        <v>3</v>
      </c>
    </row>
    <row r="46" spans="1:2" x14ac:dyDescent="0.3">
      <c r="A46" s="19" t="s">
        <v>72</v>
      </c>
      <c r="B46">
        <v>1</v>
      </c>
    </row>
    <row r="47" spans="1:2" x14ac:dyDescent="0.3">
      <c r="A47" s="20" t="s">
        <v>33</v>
      </c>
      <c r="B47">
        <v>0</v>
      </c>
    </row>
    <row r="48" spans="1:2" x14ac:dyDescent="0.3">
      <c r="A48" s="21" t="s">
        <v>46</v>
      </c>
      <c r="B48">
        <v>0</v>
      </c>
    </row>
    <row r="49" spans="1:2" x14ac:dyDescent="0.3">
      <c r="A49" s="20" t="s">
        <v>76</v>
      </c>
      <c r="B49">
        <v>1</v>
      </c>
    </row>
    <row r="50" spans="1:2" x14ac:dyDescent="0.3">
      <c r="A50" s="21" t="s">
        <v>60</v>
      </c>
      <c r="B50">
        <v>1</v>
      </c>
    </row>
    <row r="51" spans="1:2" x14ac:dyDescent="0.3">
      <c r="A51" s="18" t="s">
        <v>79</v>
      </c>
      <c r="B51">
        <v>23</v>
      </c>
    </row>
    <row r="52" spans="1:2" x14ac:dyDescent="0.3">
      <c r="A52" s="19" t="s">
        <v>48</v>
      </c>
      <c r="B52">
        <v>2</v>
      </c>
    </row>
    <row r="53" spans="1:2" x14ac:dyDescent="0.3">
      <c r="A53" s="20" t="s">
        <v>56</v>
      </c>
      <c r="B53">
        <v>0</v>
      </c>
    </row>
    <row r="54" spans="1:2" x14ac:dyDescent="0.3">
      <c r="A54" s="21" t="s">
        <v>60</v>
      </c>
      <c r="B54">
        <v>0</v>
      </c>
    </row>
    <row r="55" spans="1:2" x14ac:dyDescent="0.3">
      <c r="A55" s="20" t="s">
        <v>76</v>
      </c>
      <c r="B55">
        <v>2</v>
      </c>
    </row>
    <row r="56" spans="1:2" x14ac:dyDescent="0.3">
      <c r="A56" s="21" t="s">
        <v>35</v>
      </c>
      <c r="B56">
        <v>0</v>
      </c>
    </row>
    <row r="57" spans="1:2" x14ac:dyDescent="0.3">
      <c r="A57" s="21" t="s">
        <v>60</v>
      </c>
      <c r="B57">
        <v>2</v>
      </c>
    </row>
    <row r="58" spans="1:2" x14ac:dyDescent="0.3">
      <c r="A58" s="19" t="s">
        <v>61</v>
      </c>
      <c r="B58">
        <v>4</v>
      </c>
    </row>
    <row r="59" spans="1:2" x14ac:dyDescent="0.3">
      <c r="A59" s="20" t="s">
        <v>74</v>
      </c>
      <c r="B59">
        <v>4</v>
      </c>
    </row>
    <row r="60" spans="1:2" x14ac:dyDescent="0.3">
      <c r="A60" s="21" t="s">
        <v>35</v>
      </c>
      <c r="B60">
        <v>4</v>
      </c>
    </row>
    <row r="61" spans="1:2" x14ac:dyDescent="0.3">
      <c r="A61" s="21" t="s">
        <v>41</v>
      </c>
      <c r="B61">
        <v>0</v>
      </c>
    </row>
    <row r="62" spans="1:2" x14ac:dyDescent="0.3">
      <c r="A62" s="19" t="s">
        <v>37</v>
      </c>
      <c r="B62">
        <v>1</v>
      </c>
    </row>
    <row r="63" spans="1:2" x14ac:dyDescent="0.3">
      <c r="A63" s="20" t="s">
        <v>76</v>
      </c>
      <c r="B63">
        <v>1</v>
      </c>
    </row>
    <row r="64" spans="1:2" x14ac:dyDescent="0.3">
      <c r="A64" s="21" t="s">
        <v>41</v>
      </c>
      <c r="B64">
        <v>1</v>
      </c>
    </row>
    <row r="65" spans="1:2" x14ac:dyDescent="0.3">
      <c r="A65" s="19" t="s">
        <v>72</v>
      </c>
      <c r="B65">
        <v>16</v>
      </c>
    </row>
    <row r="66" spans="1:2" x14ac:dyDescent="0.3">
      <c r="A66" s="20" t="s">
        <v>56</v>
      </c>
      <c r="B66">
        <v>5</v>
      </c>
    </row>
    <row r="67" spans="1:2" x14ac:dyDescent="0.3">
      <c r="A67" s="21" t="s">
        <v>35</v>
      </c>
      <c r="B67">
        <v>1</v>
      </c>
    </row>
    <row r="68" spans="1:2" x14ac:dyDescent="0.3">
      <c r="A68" s="21" t="s">
        <v>60</v>
      </c>
      <c r="B68">
        <v>4</v>
      </c>
    </row>
    <row r="69" spans="1:2" x14ac:dyDescent="0.3">
      <c r="A69" s="20" t="s">
        <v>51</v>
      </c>
      <c r="B69">
        <v>4</v>
      </c>
    </row>
    <row r="70" spans="1:2" x14ac:dyDescent="0.3">
      <c r="A70" s="21" t="s">
        <v>60</v>
      </c>
      <c r="B70">
        <v>4</v>
      </c>
    </row>
    <row r="71" spans="1:2" x14ac:dyDescent="0.3">
      <c r="A71" s="20" t="s">
        <v>33</v>
      </c>
      <c r="B71">
        <v>7</v>
      </c>
    </row>
    <row r="72" spans="1:2" x14ac:dyDescent="0.3">
      <c r="A72" s="21" t="s">
        <v>41</v>
      </c>
      <c r="B72">
        <v>7</v>
      </c>
    </row>
    <row r="73" spans="1:2" x14ac:dyDescent="0.3">
      <c r="A73" s="18" t="s">
        <v>64</v>
      </c>
      <c r="B73">
        <v>20</v>
      </c>
    </row>
    <row r="74" spans="1:2" x14ac:dyDescent="0.3">
      <c r="A74" s="19" t="s">
        <v>48</v>
      </c>
      <c r="B74">
        <v>4</v>
      </c>
    </row>
    <row r="75" spans="1:2" x14ac:dyDescent="0.3">
      <c r="A75" s="20" t="s">
        <v>56</v>
      </c>
      <c r="B75">
        <v>1</v>
      </c>
    </row>
    <row r="76" spans="1:2" x14ac:dyDescent="0.3">
      <c r="A76" s="21" t="s">
        <v>60</v>
      </c>
      <c r="B76">
        <v>1</v>
      </c>
    </row>
    <row r="77" spans="1:2" x14ac:dyDescent="0.3">
      <c r="A77" s="20" t="s">
        <v>74</v>
      </c>
      <c r="B77">
        <v>3</v>
      </c>
    </row>
    <row r="78" spans="1:2" x14ac:dyDescent="0.3">
      <c r="A78" s="21" t="s">
        <v>46</v>
      </c>
      <c r="B78">
        <v>3</v>
      </c>
    </row>
    <row r="79" spans="1:2" x14ac:dyDescent="0.3">
      <c r="A79" s="19" t="s">
        <v>61</v>
      </c>
      <c r="B79">
        <v>2</v>
      </c>
    </row>
    <row r="80" spans="1:2" x14ac:dyDescent="0.3">
      <c r="A80" s="20" t="s">
        <v>56</v>
      </c>
      <c r="B80">
        <v>2</v>
      </c>
    </row>
    <row r="81" spans="1:2" x14ac:dyDescent="0.3">
      <c r="A81" s="21" t="s">
        <v>60</v>
      </c>
      <c r="B81">
        <v>2</v>
      </c>
    </row>
    <row r="82" spans="1:2" x14ac:dyDescent="0.3">
      <c r="A82" s="19" t="s">
        <v>37</v>
      </c>
      <c r="B82">
        <v>5</v>
      </c>
    </row>
    <row r="83" spans="1:2" x14ac:dyDescent="0.3">
      <c r="A83" s="20" t="s">
        <v>51</v>
      </c>
      <c r="B83">
        <v>5</v>
      </c>
    </row>
    <row r="84" spans="1:2" x14ac:dyDescent="0.3">
      <c r="A84" s="21" t="s">
        <v>60</v>
      </c>
      <c r="B84">
        <v>5</v>
      </c>
    </row>
    <row r="85" spans="1:2" x14ac:dyDescent="0.3">
      <c r="A85" s="19" t="s">
        <v>72</v>
      </c>
      <c r="B85">
        <v>9</v>
      </c>
    </row>
    <row r="86" spans="1:2" x14ac:dyDescent="0.3">
      <c r="A86" s="20" t="s">
        <v>56</v>
      </c>
      <c r="B86">
        <v>5</v>
      </c>
    </row>
    <row r="87" spans="1:2" x14ac:dyDescent="0.3">
      <c r="A87" s="21" t="s">
        <v>41</v>
      </c>
      <c r="B87">
        <v>5</v>
      </c>
    </row>
    <row r="88" spans="1:2" x14ac:dyDescent="0.3">
      <c r="A88" s="20" t="s">
        <v>51</v>
      </c>
      <c r="B88">
        <v>0</v>
      </c>
    </row>
    <row r="89" spans="1:2" x14ac:dyDescent="0.3">
      <c r="A89" s="21" t="s">
        <v>35</v>
      </c>
      <c r="B89">
        <v>0</v>
      </c>
    </row>
    <row r="90" spans="1:2" x14ac:dyDescent="0.3">
      <c r="A90" s="20" t="s">
        <v>33</v>
      </c>
      <c r="B90">
        <v>4</v>
      </c>
    </row>
    <row r="91" spans="1:2" x14ac:dyDescent="0.3">
      <c r="A91" s="21" t="s">
        <v>60</v>
      </c>
      <c r="B91">
        <v>4</v>
      </c>
    </row>
    <row r="92" spans="1:2" x14ac:dyDescent="0.3">
      <c r="A92" s="20" t="s">
        <v>76</v>
      </c>
      <c r="B92">
        <v>0</v>
      </c>
    </row>
    <row r="93" spans="1:2" x14ac:dyDescent="0.3">
      <c r="A93" s="21" t="s">
        <v>46</v>
      </c>
      <c r="B93">
        <v>0</v>
      </c>
    </row>
    <row r="94" spans="1:2" x14ac:dyDescent="0.3">
      <c r="A94" s="18" t="s">
        <v>32</v>
      </c>
      <c r="B94">
        <v>49</v>
      </c>
    </row>
    <row r="95" spans="1:2" x14ac:dyDescent="0.3">
      <c r="A95" s="19" t="s">
        <v>48</v>
      </c>
      <c r="B95">
        <v>15</v>
      </c>
    </row>
    <row r="96" spans="1:2" x14ac:dyDescent="0.3">
      <c r="A96" s="20" t="s">
        <v>56</v>
      </c>
      <c r="B96">
        <v>9</v>
      </c>
    </row>
    <row r="97" spans="1:2" x14ac:dyDescent="0.3">
      <c r="A97" s="21" t="s">
        <v>41</v>
      </c>
      <c r="B97">
        <v>5</v>
      </c>
    </row>
    <row r="98" spans="1:2" x14ac:dyDescent="0.3">
      <c r="A98" s="21" t="s">
        <v>46</v>
      </c>
      <c r="B98">
        <v>4</v>
      </c>
    </row>
    <row r="99" spans="1:2" x14ac:dyDescent="0.3">
      <c r="A99" s="20" t="s">
        <v>51</v>
      </c>
      <c r="B99">
        <v>1</v>
      </c>
    </row>
    <row r="100" spans="1:2" x14ac:dyDescent="0.3">
      <c r="A100" s="21" t="s">
        <v>35</v>
      </c>
      <c r="B100">
        <v>1</v>
      </c>
    </row>
    <row r="101" spans="1:2" x14ac:dyDescent="0.3">
      <c r="A101" s="20" t="s">
        <v>74</v>
      </c>
      <c r="B101">
        <v>4</v>
      </c>
    </row>
    <row r="102" spans="1:2" x14ac:dyDescent="0.3">
      <c r="A102" s="21" t="s">
        <v>41</v>
      </c>
      <c r="B102">
        <v>4</v>
      </c>
    </row>
    <row r="103" spans="1:2" x14ac:dyDescent="0.3">
      <c r="A103" s="20" t="s">
        <v>33</v>
      </c>
      <c r="B103">
        <v>1</v>
      </c>
    </row>
    <row r="104" spans="1:2" x14ac:dyDescent="0.3">
      <c r="A104" s="21" t="s">
        <v>60</v>
      </c>
      <c r="B104">
        <v>1</v>
      </c>
    </row>
    <row r="105" spans="1:2" x14ac:dyDescent="0.3">
      <c r="A105" s="20" t="s">
        <v>76</v>
      </c>
      <c r="B105">
        <v>0</v>
      </c>
    </row>
    <row r="106" spans="1:2" x14ac:dyDescent="0.3">
      <c r="A106" s="21" t="s">
        <v>46</v>
      </c>
      <c r="B106">
        <v>0</v>
      </c>
    </row>
    <row r="107" spans="1:2" x14ac:dyDescent="0.3">
      <c r="A107" s="19" t="s">
        <v>61</v>
      </c>
      <c r="B107">
        <v>6</v>
      </c>
    </row>
    <row r="108" spans="1:2" x14ac:dyDescent="0.3">
      <c r="A108" s="20" t="s">
        <v>56</v>
      </c>
      <c r="B108">
        <v>4</v>
      </c>
    </row>
    <row r="109" spans="1:2" x14ac:dyDescent="0.3">
      <c r="A109" s="21" t="s">
        <v>35</v>
      </c>
      <c r="B109">
        <v>4</v>
      </c>
    </row>
    <row r="110" spans="1:2" x14ac:dyDescent="0.3">
      <c r="A110" s="20" t="s">
        <v>51</v>
      </c>
      <c r="B110">
        <v>2</v>
      </c>
    </row>
    <row r="111" spans="1:2" x14ac:dyDescent="0.3">
      <c r="A111" s="21" t="s">
        <v>41</v>
      </c>
      <c r="B111">
        <v>2</v>
      </c>
    </row>
    <row r="112" spans="1:2" x14ac:dyDescent="0.3">
      <c r="A112" s="19" t="s">
        <v>37</v>
      </c>
      <c r="B112">
        <v>15</v>
      </c>
    </row>
    <row r="113" spans="1:2" x14ac:dyDescent="0.3">
      <c r="A113" s="20" t="s">
        <v>51</v>
      </c>
      <c r="B113">
        <v>4</v>
      </c>
    </row>
    <row r="114" spans="1:2" x14ac:dyDescent="0.3">
      <c r="A114" s="21" t="s">
        <v>46</v>
      </c>
      <c r="B114">
        <v>4</v>
      </c>
    </row>
    <row r="115" spans="1:2" x14ac:dyDescent="0.3">
      <c r="A115" s="20" t="s">
        <v>74</v>
      </c>
      <c r="B115">
        <v>2</v>
      </c>
    </row>
    <row r="116" spans="1:2" x14ac:dyDescent="0.3">
      <c r="A116" s="21" t="s">
        <v>46</v>
      </c>
      <c r="B116">
        <v>2</v>
      </c>
    </row>
    <row r="117" spans="1:2" x14ac:dyDescent="0.3">
      <c r="A117" s="20" t="s">
        <v>33</v>
      </c>
      <c r="B117">
        <v>9</v>
      </c>
    </row>
    <row r="118" spans="1:2" x14ac:dyDescent="0.3">
      <c r="A118" s="21" t="s">
        <v>35</v>
      </c>
      <c r="B118">
        <v>4</v>
      </c>
    </row>
    <row r="119" spans="1:2" x14ac:dyDescent="0.3">
      <c r="A119" s="21" t="s">
        <v>41</v>
      </c>
      <c r="B119">
        <v>5</v>
      </c>
    </row>
    <row r="120" spans="1:2" x14ac:dyDescent="0.3">
      <c r="A120" s="19" t="s">
        <v>72</v>
      </c>
      <c r="B120">
        <v>13</v>
      </c>
    </row>
    <row r="121" spans="1:2" x14ac:dyDescent="0.3">
      <c r="A121" s="20" t="s">
        <v>56</v>
      </c>
      <c r="B121">
        <v>5</v>
      </c>
    </row>
    <row r="122" spans="1:2" x14ac:dyDescent="0.3">
      <c r="A122" s="21" t="s">
        <v>46</v>
      </c>
      <c r="B122">
        <v>5</v>
      </c>
    </row>
    <row r="123" spans="1:2" x14ac:dyDescent="0.3">
      <c r="A123" s="20" t="s">
        <v>33</v>
      </c>
      <c r="B123">
        <v>8</v>
      </c>
    </row>
    <row r="124" spans="1:2" x14ac:dyDescent="0.3">
      <c r="A124" s="21" t="s">
        <v>35</v>
      </c>
      <c r="B124">
        <v>3</v>
      </c>
    </row>
    <row r="125" spans="1:2" x14ac:dyDescent="0.3">
      <c r="A125" s="21" t="s">
        <v>41</v>
      </c>
      <c r="B125">
        <v>5</v>
      </c>
    </row>
    <row r="126" spans="1:2" x14ac:dyDescent="0.3">
      <c r="A126" s="18" t="s">
        <v>85</v>
      </c>
      <c r="B126">
        <v>43</v>
      </c>
    </row>
    <row r="127" spans="1:2" x14ac:dyDescent="0.3">
      <c r="A127" s="19" t="s">
        <v>48</v>
      </c>
      <c r="B127">
        <v>4</v>
      </c>
    </row>
    <row r="128" spans="1:2" x14ac:dyDescent="0.3">
      <c r="A128" s="20" t="s">
        <v>56</v>
      </c>
      <c r="B128">
        <v>0</v>
      </c>
    </row>
    <row r="129" spans="1:2" x14ac:dyDescent="0.3">
      <c r="A129" s="21" t="s">
        <v>35</v>
      </c>
      <c r="B129">
        <v>0</v>
      </c>
    </row>
    <row r="130" spans="1:2" x14ac:dyDescent="0.3">
      <c r="A130" s="20" t="s">
        <v>76</v>
      </c>
      <c r="B130">
        <v>4</v>
      </c>
    </row>
    <row r="131" spans="1:2" x14ac:dyDescent="0.3">
      <c r="A131" s="21" t="s">
        <v>41</v>
      </c>
      <c r="B131">
        <v>4</v>
      </c>
    </row>
    <row r="132" spans="1:2" x14ac:dyDescent="0.3">
      <c r="A132" s="19" t="s">
        <v>61</v>
      </c>
      <c r="B132">
        <v>9</v>
      </c>
    </row>
    <row r="133" spans="1:2" x14ac:dyDescent="0.3">
      <c r="A133" s="20" t="s">
        <v>56</v>
      </c>
      <c r="B133">
        <v>5</v>
      </c>
    </row>
    <row r="134" spans="1:2" x14ac:dyDescent="0.3">
      <c r="A134" s="21" t="s">
        <v>35</v>
      </c>
      <c r="B134">
        <v>1</v>
      </c>
    </row>
    <row r="135" spans="1:2" x14ac:dyDescent="0.3">
      <c r="A135" s="21" t="s">
        <v>41</v>
      </c>
      <c r="B135">
        <v>4</v>
      </c>
    </row>
    <row r="136" spans="1:2" x14ac:dyDescent="0.3">
      <c r="A136" s="20" t="s">
        <v>33</v>
      </c>
      <c r="B136">
        <v>4</v>
      </c>
    </row>
    <row r="137" spans="1:2" x14ac:dyDescent="0.3">
      <c r="A137" s="21" t="s">
        <v>35</v>
      </c>
      <c r="B137">
        <v>4</v>
      </c>
    </row>
    <row r="138" spans="1:2" x14ac:dyDescent="0.3">
      <c r="A138" s="19" t="s">
        <v>37</v>
      </c>
      <c r="B138">
        <v>19</v>
      </c>
    </row>
    <row r="139" spans="1:2" x14ac:dyDescent="0.3">
      <c r="A139" s="20" t="s">
        <v>56</v>
      </c>
      <c r="B139">
        <v>4</v>
      </c>
    </row>
    <row r="140" spans="1:2" x14ac:dyDescent="0.3">
      <c r="A140" s="21" t="s">
        <v>35</v>
      </c>
      <c r="B140">
        <v>4</v>
      </c>
    </row>
    <row r="141" spans="1:2" x14ac:dyDescent="0.3">
      <c r="A141" s="20" t="s">
        <v>51</v>
      </c>
      <c r="B141">
        <v>5</v>
      </c>
    </row>
    <row r="142" spans="1:2" x14ac:dyDescent="0.3">
      <c r="A142" s="21" t="s">
        <v>35</v>
      </c>
      <c r="B142">
        <v>5</v>
      </c>
    </row>
    <row r="143" spans="1:2" x14ac:dyDescent="0.3">
      <c r="A143" s="20" t="s">
        <v>33</v>
      </c>
      <c r="B143">
        <v>3</v>
      </c>
    </row>
    <row r="144" spans="1:2" x14ac:dyDescent="0.3">
      <c r="A144" s="21" t="s">
        <v>46</v>
      </c>
      <c r="B144">
        <v>3</v>
      </c>
    </row>
    <row r="145" spans="1:2" x14ac:dyDescent="0.3">
      <c r="A145" s="20" t="s">
        <v>76</v>
      </c>
      <c r="B145">
        <v>7</v>
      </c>
    </row>
    <row r="146" spans="1:2" x14ac:dyDescent="0.3">
      <c r="A146" s="21" t="s">
        <v>60</v>
      </c>
      <c r="B146">
        <v>4</v>
      </c>
    </row>
    <row r="147" spans="1:2" x14ac:dyDescent="0.3">
      <c r="A147" s="21" t="s">
        <v>46</v>
      </c>
      <c r="B147">
        <v>3</v>
      </c>
    </row>
    <row r="148" spans="1:2" x14ac:dyDescent="0.3">
      <c r="A148" s="19" t="s">
        <v>72</v>
      </c>
      <c r="B148">
        <v>11</v>
      </c>
    </row>
    <row r="149" spans="1:2" x14ac:dyDescent="0.3">
      <c r="A149" s="20" t="s">
        <v>56</v>
      </c>
      <c r="B149">
        <v>2</v>
      </c>
    </row>
    <row r="150" spans="1:2" x14ac:dyDescent="0.3">
      <c r="A150" s="21" t="s">
        <v>35</v>
      </c>
      <c r="B150">
        <v>2</v>
      </c>
    </row>
    <row r="151" spans="1:2" x14ac:dyDescent="0.3">
      <c r="A151" s="20" t="s">
        <v>74</v>
      </c>
      <c r="B151">
        <v>5</v>
      </c>
    </row>
    <row r="152" spans="1:2" x14ac:dyDescent="0.3">
      <c r="A152" s="21" t="s">
        <v>60</v>
      </c>
      <c r="B152">
        <v>5</v>
      </c>
    </row>
    <row r="153" spans="1:2" x14ac:dyDescent="0.3">
      <c r="A153" s="20" t="s">
        <v>33</v>
      </c>
      <c r="B153">
        <v>4</v>
      </c>
    </row>
    <row r="154" spans="1:2" x14ac:dyDescent="0.3">
      <c r="A154" s="21" t="s">
        <v>60</v>
      </c>
      <c r="B154">
        <v>4</v>
      </c>
    </row>
    <row r="155" spans="1:2" x14ac:dyDescent="0.3">
      <c r="A155" s="18" t="s">
        <v>40</v>
      </c>
      <c r="B155">
        <v>36</v>
      </c>
    </row>
    <row r="156" spans="1:2" x14ac:dyDescent="0.3">
      <c r="A156" s="19" t="s">
        <v>48</v>
      </c>
      <c r="B156">
        <v>7</v>
      </c>
    </row>
    <row r="157" spans="1:2" x14ac:dyDescent="0.3">
      <c r="A157" s="20" t="s">
        <v>51</v>
      </c>
      <c r="B157">
        <v>4</v>
      </c>
    </row>
    <row r="158" spans="1:2" x14ac:dyDescent="0.3">
      <c r="A158" s="21" t="s">
        <v>41</v>
      </c>
      <c r="B158">
        <v>4</v>
      </c>
    </row>
    <row r="159" spans="1:2" x14ac:dyDescent="0.3">
      <c r="A159" s="20" t="s">
        <v>33</v>
      </c>
      <c r="B159">
        <v>3</v>
      </c>
    </row>
    <row r="160" spans="1:2" x14ac:dyDescent="0.3">
      <c r="A160" s="21" t="s">
        <v>46</v>
      </c>
      <c r="B160">
        <v>3</v>
      </c>
    </row>
    <row r="161" spans="1:2" x14ac:dyDescent="0.3">
      <c r="A161" s="19" t="s">
        <v>61</v>
      </c>
      <c r="B161">
        <v>17</v>
      </c>
    </row>
    <row r="162" spans="1:2" x14ac:dyDescent="0.3">
      <c r="A162" s="20" t="s">
        <v>56</v>
      </c>
      <c r="B162">
        <v>0</v>
      </c>
    </row>
    <row r="163" spans="1:2" x14ac:dyDescent="0.3">
      <c r="A163" s="21" t="s">
        <v>60</v>
      </c>
      <c r="B163">
        <v>0</v>
      </c>
    </row>
    <row r="164" spans="1:2" x14ac:dyDescent="0.3">
      <c r="A164" s="20" t="s">
        <v>51</v>
      </c>
      <c r="B164">
        <v>17</v>
      </c>
    </row>
    <row r="165" spans="1:2" x14ac:dyDescent="0.3">
      <c r="A165" s="21" t="s">
        <v>35</v>
      </c>
      <c r="B165">
        <v>8</v>
      </c>
    </row>
    <row r="166" spans="1:2" x14ac:dyDescent="0.3">
      <c r="A166" s="21" t="s">
        <v>41</v>
      </c>
      <c r="B166">
        <v>7</v>
      </c>
    </row>
    <row r="167" spans="1:2" x14ac:dyDescent="0.3">
      <c r="A167" s="21" t="s">
        <v>46</v>
      </c>
      <c r="B167">
        <v>2</v>
      </c>
    </row>
    <row r="168" spans="1:2" x14ac:dyDescent="0.3">
      <c r="A168" s="19" t="s">
        <v>37</v>
      </c>
      <c r="B168">
        <v>4</v>
      </c>
    </row>
    <row r="169" spans="1:2" x14ac:dyDescent="0.3">
      <c r="A169" s="20" t="s">
        <v>56</v>
      </c>
      <c r="B169">
        <v>0</v>
      </c>
    </row>
    <row r="170" spans="1:2" x14ac:dyDescent="0.3">
      <c r="A170" s="21" t="s">
        <v>60</v>
      </c>
      <c r="B170">
        <v>0</v>
      </c>
    </row>
    <row r="171" spans="1:2" x14ac:dyDescent="0.3">
      <c r="A171" s="20" t="s">
        <v>74</v>
      </c>
      <c r="B171">
        <v>4</v>
      </c>
    </row>
    <row r="172" spans="1:2" x14ac:dyDescent="0.3">
      <c r="A172" s="21" t="s">
        <v>60</v>
      </c>
      <c r="B172">
        <v>0</v>
      </c>
    </row>
    <row r="173" spans="1:2" x14ac:dyDescent="0.3">
      <c r="A173" s="21" t="s">
        <v>46</v>
      </c>
      <c r="B173">
        <v>4</v>
      </c>
    </row>
    <row r="174" spans="1:2" x14ac:dyDescent="0.3">
      <c r="A174" s="20" t="s">
        <v>33</v>
      </c>
      <c r="B174">
        <v>0</v>
      </c>
    </row>
    <row r="175" spans="1:2" x14ac:dyDescent="0.3">
      <c r="A175" s="21" t="s">
        <v>41</v>
      </c>
      <c r="B175">
        <v>0</v>
      </c>
    </row>
    <row r="176" spans="1:2" x14ac:dyDescent="0.3">
      <c r="A176" s="19" t="s">
        <v>72</v>
      </c>
      <c r="B176">
        <v>8</v>
      </c>
    </row>
    <row r="177" spans="1:2" x14ac:dyDescent="0.3">
      <c r="A177" s="20" t="s">
        <v>56</v>
      </c>
      <c r="B177">
        <v>4</v>
      </c>
    </row>
    <row r="178" spans="1:2" x14ac:dyDescent="0.3">
      <c r="A178" s="21" t="s">
        <v>60</v>
      </c>
      <c r="B178">
        <v>4</v>
      </c>
    </row>
    <row r="179" spans="1:2" x14ac:dyDescent="0.3">
      <c r="A179" s="20" t="s">
        <v>51</v>
      </c>
      <c r="B179">
        <v>1</v>
      </c>
    </row>
    <row r="180" spans="1:2" x14ac:dyDescent="0.3">
      <c r="A180" s="21" t="s">
        <v>35</v>
      </c>
      <c r="B180">
        <v>1</v>
      </c>
    </row>
    <row r="181" spans="1:2" x14ac:dyDescent="0.3">
      <c r="A181" s="20" t="s">
        <v>33</v>
      </c>
      <c r="B181">
        <v>3</v>
      </c>
    </row>
    <row r="182" spans="1:2" x14ac:dyDescent="0.3">
      <c r="A182" s="21" t="s">
        <v>35</v>
      </c>
      <c r="B182">
        <v>3</v>
      </c>
    </row>
    <row r="183" spans="1:2" x14ac:dyDescent="0.3">
      <c r="A183" s="18" t="s">
        <v>50</v>
      </c>
      <c r="B183">
        <v>22</v>
      </c>
    </row>
    <row r="184" spans="1:2" x14ac:dyDescent="0.3">
      <c r="A184" s="19" t="s">
        <v>48</v>
      </c>
      <c r="B184">
        <v>9</v>
      </c>
    </row>
    <row r="185" spans="1:2" x14ac:dyDescent="0.3">
      <c r="A185" s="20" t="s">
        <v>56</v>
      </c>
      <c r="B185">
        <v>2</v>
      </c>
    </row>
    <row r="186" spans="1:2" x14ac:dyDescent="0.3">
      <c r="A186" s="21" t="s">
        <v>41</v>
      </c>
      <c r="B186">
        <v>2</v>
      </c>
    </row>
    <row r="187" spans="1:2" x14ac:dyDescent="0.3">
      <c r="A187" s="20" t="s">
        <v>51</v>
      </c>
      <c r="B187">
        <v>4</v>
      </c>
    </row>
    <row r="188" spans="1:2" x14ac:dyDescent="0.3">
      <c r="A188" s="21" t="s">
        <v>35</v>
      </c>
      <c r="B188">
        <v>4</v>
      </c>
    </row>
    <row r="189" spans="1:2" x14ac:dyDescent="0.3">
      <c r="A189" s="20" t="s">
        <v>74</v>
      </c>
      <c r="B189">
        <v>1</v>
      </c>
    </row>
    <row r="190" spans="1:2" x14ac:dyDescent="0.3">
      <c r="A190" s="21" t="s">
        <v>35</v>
      </c>
      <c r="B190">
        <v>0</v>
      </c>
    </row>
    <row r="191" spans="1:2" x14ac:dyDescent="0.3">
      <c r="A191" s="21" t="s">
        <v>46</v>
      </c>
      <c r="B191">
        <v>1</v>
      </c>
    </row>
    <row r="192" spans="1:2" x14ac:dyDescent="0.3">
      <c r="A192" s="20" t="s">
        <v>33</v>
      </c>
      <c r="B192">
        <v>2</v>
      </c>
    </row>
    <row r="193" spans="1:2" x14ac:dyDescent="0.3">
      <c r="A193" s="21" t="s">
        <v>60</v>
      </c>
      <c r="B193">
        <v>2</v>
      </c>
    </row>
    <row r="194" spans="1:2" x14ac:dyDescent="0.3">
      <c r="A194" s="19" t="s">
        <v>61</v>
      </c>
      <c r="B194">
        <v>6</v>
      </c>
    </row>
    <row r="195" spans="1:2" x14ac:dyDescent="0.3">
      <c r="A195" s="20" t="s">
        <v>56</v>
      </c>
      <c r="B195">
        <v>5</v>
      </c>
    </row>
    <row r="196" spans="1:2" x14ac:dyDescent="0.3">
      <c r="A196" s="21" t="s">
        <v>46</v>
      </c>
      <c r="B196">
        <v>5</v>
      </c>
    </row>
    <row r="197" spans="1:2" x14ac:dyDescent="0.3">
      <c r="A197" s="20" t="s">
        <v>76</v>
      </c>
      <c r="B197">
        <v>1</v>
      </c>
    </row>
    <row r="198" spans="1:2" x14ac:dyDescent="0.3">
      <c r="A198" s="21" t="s">
        <v>46</v>
      </c>
      <c r="B198">
        <v>1</v>
      </c>
    </row>
    <row r="199" spans="1:2" x14ac:dyDescent="0.3">
      <c r="A199" s="19" t="s">
        <v>37</v>
      </c>
      <c r="B199">
        <v>0</v>
      </c>
    </row>
    <row r="200" spans="1:2" x14ac:dyDescent="0.3">
      <c r="A200" s="20" t="s">
        <v>51</v>
      </c>
      <c r="B200">
        <v>0</v>
      </c>
    </row>
    <row r="201" spans="1:2" x14ac:dyDescent="0.3">
      <c r="A201" s="21" t="s">
        <v>35</v>
      </c>
      <c r="B201">
        <v>0</v>
      </c>
    </row>
    <row r="202" spans="1:2" x14ac:dyDescent="0.3">
      <c r="A202" s="19" t="s">
        <v>72</v>
      </c>
      <c r="B202">
        <v>7</v>
      </c>
    </row>
    <row r="203" spans="1:2" x14ac:dyDescent="0.3">
      <c r="A203" s="20" t="s">
        <v>33</v>
      </c>
      <c r="B203">
        <v>2</v>
      </c>
    </row>
    <row r="204" spans="1:2" x14ac:dyDescent="0.3">
      <c r="A204" s="21" t="s">
        <v>60</v>
      </c>
      <c r="B204">
        <v>2</v>
      </c>
    </row>
    <row r="205" spans="1:2" x14ac:dyDescent="0.3">
      <c r="A205" s="20" t="s">
        <v>76</v>
      </c>
      <c r="B205">
        <v>5</v>
      </c>
    </row>
    <row r="206" spans="1:2" x14ac:dyDescent="0.3">
      <c r="A206" s="21" t="s">
        <v>41</v>
      </c>
      <c r="B206">
        <v>5</v>
      </c>
    </row>
    <row r="207" spans="1:2" x14ac:dyDescent="0.3">
      <c r="A207" s="18" t="s">
        <v>169</v>
      </c>
      <c r="B207">
        <v>252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6A42-20F4-413D-8E31-BD0A83B202DB}">
  <dimension ref="A3:E6"/>
  <sheetViews>
    <sheetView workbookViewId="0">
      <selection activeCell="B12" sqref="B12"/>
    </sheetView>
  </sheetViews>
  <sheetFormatPr defaultRowHeight="14.4" x14ac:dyDescent="0.3"/>
  <cols>
    <col min="1" max="1" width="12.5546875" bestFit="1" customWidth="1"/>
    <col min="2" max="2" width="18.44140625" bestFit="1" customWidth="1"/>
    <col min="3" max="3" width="21.109375" bestFit="1" customWidth="1"/>
    <col min="4" max="4" width="22.109375" bestFit="1" customWidth="1"/>
    <col min="5" max="5" width="19.21875" bestFit="1" customWidth="1"/>
  </cols>
  <sheetData>
    <row r="3" spans="1:5" x14ac:dyDescent="0.3">
      <c r="A3" s="17" t="s">
        <v>168</v>
      </c>
      <c r="B3" t="s">
        <v>316</v>
      </c>
      <c r="C3" t="s">
        <v>317</v>
      </c>
      <c r="D3" t="s">
        <v>319</v>
      </c>
      <c r="E3" t="s">
        <v>318</v>
      </c>
    </row>
    <row r="4" spans="1:5" x14ac:dyDescent="0.3">
      <c r="A4" s="18" t="s">
        <v>314</v>
      </c>
      <c r="B4">
        <v>59470</v>
      </c>
      <c r="C4">
        <v>30</v>
      </c>
      <c r="D4">
        <v>998629</v>
      </c>
      <c r="E4">
        <v>272872</v>
      </c>
    </row>
    <row r="5" spans="1:5" x14ac:dyDescent="0.3">
      <c r="A5" s="18" t="s">
        <v>315</v>
      </c>
      <c r="B5">
        <v>38981</v>
      </c>
      <c r="C5">
        <v>19</v>
      </c>
      <c r="D5">
        <v>417</v>
      </c>
      <c r="E5">
        <v>144438</v>
      </c>
    </row>
    <row r="6" spans="1:5" x14ac:dyDescent="0.3">
      <c r="A6" s="18" t="s">
        <v>169</v>
      </c>
      <c r="B6">
        <v>98451</v>
      </c>
      <c r="C6">
        <v>49</v>
      </c>
      <c r="D6">
        <v>999046</v>
      </c>
      <c r="E6">
        <v>417310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2B5C1-F189-4A0F-B10A-A55D04440D18}">
  <dimension ref="A3:D7"/>
  <sheetViews>
    <sheetView workbookViewId="0">
      <selection activeCell="B12" sqref="B12"/>
    </sheetView>
  </sheetViews>
  <sheetFormatPr defaultRowHeight="14.4" x14ac:dyDescent="0.3"/>
  <cols>
    <col min="1" max="1" width="12.5546875" bestFit="1" customWidth="1"/>
    <col min="2" max="2" width="14.88671875" bestFit="1" customWidth="1"/>
    <col min="3" max="3" width="12.109375" bestFit="1" customWidth="1"/>
    <col min="4" max="4" width="16" bestFit="1" customWidth="1"/>
  </cols>
  <sheetData>
    <row r="3" spans="1:4" x14ac:dyDescent="0.3">
      <c r="A3" s="17" t="s">
        <v>168</v>
      </c>
      <c r="B3" t="s">
        <v>462</v>
      </c>
      <c r="C3" t="s">
        <v>463</v>
      </c>
      <c r="D3" t="s">
        <v>464</v>
      </c>
    </row>
    <row r="4" spans="1:4" x14ac:dyDescent="0.3">
      <c r="A4" s="18" t="s">
        <v>337</v>
      </c>
      <c r="B4">
        <v>478263.23000000004</v>
      </c>
      <c r="C4">
        <v>98393.220000000016</v>
      </c>
      <c r="D4">
        <v>289</v>
      </c>
    </row>
    <row r="5" spans="1:4" x14ac:dyDescent="0.3">
      <c r="A5" s="18" t="s">
        <v>206</v>
      </c>
      <c r="B5">
        <v>297697.91000000003</v>
      </c>
      <c r="C5">
        <v>61970.15</v>
      </c>
      <c r="D5">
        <v>211</v>
      </c>
    </row>
    <row r="6" spans="1:4" x14ac:dyDescent="0.3">
      <c r="A6" s="18" t="s">
        <v>341</v>
      </c>
      <c r="B6">
        <v>361207.22000000003</v>
      </c>
      <c r="C6">
        <v>60961.730000000018</v>
      </c>
      <c r="D6">
        <v>264</v>
      </c>
    </row>
    <row r="7" spans="1:4" x14ac:dyDescent="0.3">
      <c r="A7" s="18" t="s">
        <v>169</v>
      </c>
      <c r="B7">
        <v>1137168.3600000001</v>
      </c>
      <c r="C7">
        <v>221325.10000000003</v>
      </c>
      <c r="D7">
        <v>764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51DA-1B7C-4147-BAAA-A0F7078F5A16}">
  <dimension ref="A3:B7"/>
  <sheetViews>
    <sheetView workbookViewId="0">
      <selection activeCell="C9" sqref="A2:C9"/>
    </sheetView>
  </sheetViews>
  <sheetFormatPr defaultRowHeight="14.4" x14ac:dyDescent="0.3"/>
  <cols>
    <col min="1" max="1" width="12.5546875" bestFit="1" customWidth="1"/>
    <col min="2" max="2" width="16" bestFit="1" customWidth="1"/>
  </cols>
  <sheetData>
    <row r="3" spans="1:2" x14ac:dyDescent="0.3">
      <c r="A3" s="17" t="s">
        <v>168</v>
      </c>
      <c r="B3" t="s">
        <v>464</v>
      </c>
    </row>
    <row r="4" spans="1:2" x14ac:dyDescent="0.3">
      <c r="A4" s="18" t="s">
        <v>337</v>
      </c>
      <c r="B4">
        <v>289</v>
      </c>
    </row>
    <row r="5" spans="1:2" x14ac:dyDescent="0.3">
      <c r="A5" s="18" t="s">
        <v>206</v>
      </c>
      <c r="B5">
        <v>211</v>
      </c>
    </row>
    <row r="6" spans="1:2" x14ac:dyDescent="0.3">
      <c r="A6" s="18" t="s">
        <v>341</v>
      </c>
      <c r="B6">
        <v>264</v>
      </c>
    </row>
    <row r="7" spans="1:2" x14ac:dyDescent="0.3">
      <c r="A7" s="18" t="s">
        <v>169</v>
      </c>
      <c r="B7">
        <v>764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A85DD-C589-4BE2-A267-117E1401F0D7}">
  <dimension ref="A1:P101"/>
  <sheetViews>
    <sheetView workbookViewId="0">
      <selection sqref="A1:P101"/>
    </sheetView>
  </sheetViews>
  <sheetFormatPr defaultRowHeight="14.4" x14ac:dyDescent="0.3"/>
  <cols>
    <col min="5" max="5" width="13.88671875" bestFit="1" customWidth="1"/>
    <col min="11" max="11" width="16.33203125" bestFit="1" customWidth="1"/>
    <col min="12" max="12" width="16.33203125" customWidth="1"/>
    <col min="16" max="16" width="14.77734375" bestFit="1" customWidth="1"/>
  </cols>
  <sheetData>
    <row r="1" spans="1:16" x14ac:dyDescent="0.3">
      <c r="A1" s="31" t="s">
        <v>320</v>
      </c>
      <c r="B1" s="31" t="s">
        <v>196</v>
      </c>
      <c r="C1" s="31" t="s">
        <v>321</v>
      </c>
      <c r="D1" s="31" t="s">
        <v>322</v>
      </c>
      <c r="E1" s="31" t="s">
        <v>323</v>
      </c>
      <c r="F1" s="31" t="s">
        <v>324</v>
      </c>
      <c r="G1" s="31" t="s">
        <v>325</v>
      </c>
      <c r="H1" s="31" t="s">
        <v>326</v>
      </c>
      <c r="I1" s="31" t="s">
        <v>327</v>
      </c>
      <c r="J1" s="31" t="s">
        <v>328</v>
      </c>
      <c r="K1" s="31" t="s">
        <v>329</v>
      </c>
      <c r="L1" s="31">
        <v>1</v>
      </c>
      <c r="M1" s="31" t="s">
        <v>330</v>
      </c>
      <c r="N1" s="31" t="s">
        <v>331</v>
      </c>
      <c r="O1" s="31" t="s">
        <v>332</v>
      </c>
      <c r="P1" s="31" t="s">
        <v>461</v>
      </c>
    </row>
    <row r="2" spans="1:16" x14ac:dyDescent="0.3">
      <c r="A2" s="32" t="s">
        <v>333</v>
      </c>
      <c r="B2" s="32" t="s">
        <v>334</v>
      </c>
      <c r="C2" s="32" t="s">
        <v>335</v>
      </c>
      <c r="D2" s="32" t="s">
        <v>336</v>
      </c>
      <c r="E2" s="32">
        <v>9515759149</v>
      </c>
      <c r="F2" s="32" t="s">
        <v>337</v>
      </c>
      <c r="G2" s="32" t="s">
        <v>338</v>
      </c>
      <c r="H2" s="32">
        <v>2439.81</v>
      </c>
      <c r="I2" s="32">
        <v>5</v>
      </c>
      <c r="J2" s="32">
        <v>3559.55</v>
      </c>
      <c r="K2" s="32" t="s">
        <v>208</v>
      </c>
      <c r="L2" s="32" t="str">
        <f>IF(M2&gt;20000,"High",IF(M2&gt;10000,"Medium","Low"))</f>
        <v>Medium</v>
      </c>
      <c r="M2" s="32">
        <v>12199.05</v>
      </c>
      <c r="N2" s="33" t="s">
        <v>339</v>
      </c>
      <c r="O2" s="32">
        <v>29.18</v>
      </c>
      <c r="P2">
        <f>ROUND((J2/M2)*100,2)</f>
        <v>29.18</v>
      </c>
    </row>
    <row r="3" spans="1:16" x14ac:dyDescent="0.3">
      <c r="A3" s="32" t="s">
        <v>340</v>
      </c>
      <c r="B3" s="32" t="s">
        <v>334</v>
      </c>
      <c r="C3" s="32" t="s">
        <v>335</v>
      </c>
      <c r="D3" s="32" t="s">
        <v>336</v>
      </c>
      <c r="E3" s="32">
        <v>9720381947</v>
      </c>
      <c r="F3" s="32" t="s">
        <v>341</v>
      </c>
      <c r="G3" s="32" t="s">
        <v>342</v>
      </c>
      <c r="H3" s="32">
        <v>1621.43</v>
      </c>
      <c r="I3" s="32">
        <v>13</v>
      </c>
      <c r="J3" s="32"/>
      <c r="K3" s="32" t="s">
        <v>343</v>
      </c>
      <c r="L3" s="32" t="str">
        <f t="shared" ref="L3:L66" si="0">IF(M3&gt;20000,"High",IF(M3&gt;10000,"Medium","Low"))</f>
        <v>High</v>
      </c>
      <c r="M3" s="32">
        <v>21078.59</v>
      </c>
      <c r="N3" s="33" t="s">
        <v>339</v>
      </c>
      <c r="O3" s="32">
        <v>19.12</v>
      </c>
      <c r="P3">
        <f t="shared" ref="P3:P66" si="1">ROUND((J3/M3)*100,2)</f>
        <v>0</v>
      </c>
    </row>
    <row r="4" spans="1:16" x14ac:dyDescent="0.3">
      <c r="A4" s="32" t="s">
        <v>344</v>
      </c>
      <c r="B4" s="32" t="s">
        <v>345</v>
      </c>
      <c r="C4" s="32" t="s">
        <v>335</v>
      </c>
      <c r="D4" s="32" t="s">
        <v>346</v>
      </c>
      <c r="E4" s="32">
        <v>9483465530</v>
      </c>
      <c r="F4" s="32" t="s">
        <v>337</v>
      </c>
      <c r="G4" s="32" t="s">
        <v>347</v>
      </c>
      <c r="H4" s="32">
        <v>1363.73</v>
      </c>
      <c r="I4" s="32">
        <v>1</v>
      </c>
      <c r="J4" s="32">
        <v>362.2</v>
      </c>
      <c r="K4" s="32" t="s">
        <v>343</v>
      </c>
      <c r="L4" s="32" t="str">
        <f t="shared" si="0"/>
        <v>Low</v>
      </c>
      <c r="M4" s="32">
        <v>1363.73</v>
      </c>
      <c r="N4" s="33" t="s">
        <v>348</v>
      </c>
      <c r="O4" s="32">
        <v>26.56</v>
      </c>
      <c r="P4">
        <f t="shared" si="1"/>
        <v>26.56</v>
      </c>
    </row>
    <row r="5" spans="1:16" x14ac:dyDescent="0.3">
      <c r="A5" s="32" t="s">
        <v>349</v>
      </c>
      <c r="B5" s="32" t="s">
        <v>345</v>
      </c>
      <c r="C5" s="32" t="s">
        <v>335</v>
      </c>
      <c r="D5" s="32" t="s">
        <v>346</v>
      </c>
      <c r="E5" s="32">
        <v>9350165589</v>
      </c>
      <c r="F5" s="32" t="s">
        <v>341</v>
      </c>
      <c r="G5" s="32" t="s">
        <v>350</v>
      </c>
      <c r="H5" s="32">
        <v>1172.93</v>
      </c>
      <c r="I5" s="32">
        <v>5</v>
      </c>
      <c r="J5" s="32">
        <v>1542.65</v>
      </c>
      <c r="K5" s="32" t="s">
        <v>351</v>
      </c>
      <c r="L5" s="32" t="str">
        <f t="shared" si="0"/>
        <v>Low</v>
      </c>
      <c r="M5" s="32">
        <v>5864.65</v>
      </c>
      <c r="N5" s="33" t="s">
        <v>352</v>
      </c>
      <c r="O5" s="32">
        <v>26.3</v>
      </c>
      <c r="P5">
        <f t="shared" si="1"/>
        <v>26.3</v>
      </c>
    </row>
    <row r="6" spans="1:16" x14ac:dyDescent="0.3">
      <c r="A6" s="32" t="s">
        <v>353</v>
      </c>
      <c r="B6" s="32" t="s">
        <v>345</v>
      </c>
      <c r="C6" s="32" t="s">
        <v>335</v>
      </c>
      <c r="D6" s="32" t="s">
        <v>336</v>
      </c>
      <c r="E6" s="32">
        <v>9621991901</v>
      </c>
      <c r="F6" s="32" t="s">
        <v>337</v>
      </c>
      <c r="G6" s="32" t="s">
        <v>220</v>
      </c>
      <c r="H6" s="32">
        <v>2457.56</v>
      </c>
      <c r="I6" s="32">
        <v>13</v>
      </c>
      <c r="J6" s="34">
        <v>6972.71</v>
      </c>
      <c r="K6" s="32" t="s">
        <v>208</v>
      </c>
      <c r="L6" s="32" t="str">
        <f t="shared" si="0"/>
        <v>High</v>
      </c>
      <c r="M6" s="32">
        <v>31948.28</v>
      </c>
      <c r="N6" s="33" t="s">
        <v>339</v>
      </c>
      <c r="O6" s="32">
        <v>21.82</v>
      </c>
      <c r="P6">
        <f t="shared" si="1"/>
        <v>21.82</v>
      </c>
    </row>
    <row r="7" spans="1:16" x14ac:dyDescent="0.3">
      <c r="A7" s="32" t="s">
        <v>354</v>
      </c>
      <c r="B7" s="32" t="s">
        <v>345</v>
      </c>
      <c r="C7" s="32" t="s">
        <v>335</v>
      </c>
      <c r="D7" s="32" t="s">
        <v>346</v>
      </c>
      <c r="E7" s="32">
        <v>9734105442</v>
      </c>
      <c r="F7" s="32" t="s">
        <v>337</v>
      </c>
      <c r="G7" s="32" t="s">
        <v>228</v>
      </c>
      <c r="H7" s="32">
        <v>2661.44</v>
      </c>
      <c r="I7" s="32">
        <v>7</v>
      </c>
      <c r="J7" s="32">
        <v>2581.67</v>
      </c>
      <c r="K7" s="32" t="s">
        <v>343</v>
      </c>
      <c r="L7" s="32" t="str">
        <f t="shared" si="0"/>
        <v>Medium</v>
      </c>
      <c r="M7" s="32">
        <v>18630.080000000002</v>
      </c>
      <c r="N7" s="33" t="s">
        <v>339</v>
      </c>
      <c r="O7" s="32">
        <v>13.86</v>
      </c>
      <c r="P7">
        <f t="shared" si="1"/>
        <v>13.86</v>
      </c>
    </row>
    <row r="8" spans="1:16" x14ac:dyDescent="0.3">
      <c r="A8" s="32" t="s">
        <v>355</v>
      </c>
      <c r="B8" s="32" t="s">
        <v>356</v>
      </c>
      <c r="C8" s="32" t="s">
        <v>335</v>
      </c>
      <c r="D8" s="32" t="s">
        <v>357</v>
      </c>
      <c r="E8" s="32">
        <v>9117390999</v>
      </c>
      <c r="F8" s="32" t="s">
        <v>337</v>
      </c>
      <c r="G8" s="32" t="s">
        <v>347</v>
      </c>
      <c r="H8" s="32">
        <v>1400.82</v>
      </c>
      <c r="I8" s="32">
        <v>6</v>
      </c>
      <c r="J8" s="32">
        <v>994.44</v>
      </c>
      <c r="K8" s="32" t="s">
        <v>224</v>
      </c>
      <c r="L8" s="32" t="str">
        <f t="shared" si="0"/>
        <v>Low</v>
      </c>
      <c r="M8" s="32">
        <v>8404.92</v>
      </c>
      <c r="N8" s="33" t="s">
        <v>352</v>
      </c>
      <c r="O8" s="32">
        <v>11.83</v>
      </c>
      <c r="P8">
        <f t="shared" si="1"/>
        <v>11.83</v>
      </c>
    </row>
    <row r="9" spans="1:16" x14ac:dyDescent="0.3">
      <c r="A9" s="32" t="s">
        <v>358</v>
      </c>
      <c r="B9" s="32" t="s">
        <v>334</v>
      </c>
      <c r="C9" s="32" t="s">
        <v>335</v>
      </c>
      <c r="D9" s="32" t="s">
        <v>336</v>
      </c>
      <c r="E9" s="32">
        <v>9513032833</v>
      </c>
      <c r="F9" s="32" t="s">
        <v>341</v>
      </c>
      <c r="G9" s="32" t="s">
        <v>359</v>
      </c>
      <c r="H9" s="32">
        <v>416.18</v>
      </c>
      <c r="I9" s="32">
        <v>3</v>
      </c>
      <c r="J9" s="32">
        <v>327.88</v>
      </c>
      <c r="K9" s="32" t="s">
        <v>343</v>
      </c>
      <c r="L9" s="32" t="str">
        <f t="shared" si="0"/>
        <v>Low</v>
      </c>
      <c r="M9" s="32">
        <v>1248.54</v>
      </c>
      <c r="N9" s="33" t="s">
        <v>348</v>
      </c>
      <c r="O9" s="32">
        <v>26.26</v>
      </c>
      <c r="P9">
        <f t="shared" si="1"/>
        <v>26.26</v>
      </c>
    </row>
    <row r="10" spans="1:16" x14ac:dyDescent="0.3">
      <c r="A10" s="32" t="s">
        <v>360</v>
      </c>
      <c r="B10" s="32" t="s">
        <v>345</v>
      </c>
      <c r="C10" s="32" t="s">
        <v>335</v>
      </c>
      <c r="D10" s="32" t="s">
        <v>361</v>
      </c>
      <c r="E10" s="35">
        <v>95543976868</v>
      </c>
      <c r="F10" s="32" t="s">
        <v>341</v>
      </c>
      <c r="G10" s="32" t="s">
        <v>359</v>
      </c>
      <c r="H10" s="32">
        <v>1290.47</v>
      </c>
      <c r="I10" s="32">
        <v>6</v>
      </c>
      <c r="J10" s="32">
        <v>1045.43</v>
      </c>
      <c r="K10" s="32" t="s">
        <v>343</v>
      </c>
      <c r="L10" s="32" t="str">
        <f t="shared" si="0"/>
        <v>Low</v>
      </c>
      <c r="M10" s="32">
        <v>7742.82</v>
      </c>
      <c r="N10" s="33" t="s">
        <v>352</v>
      </c>
      <c r="O10" s="32">
        <v>13.5</v>
      </c>
      <c r="P10">
        <f t="shared" si="1"/>
        <v>13.5</v>
      </c>
    </row>
    <row r="11" spans="1:16" x14ac:dyDescent="0.3">
      <c r="A11" s="32" t="s">
        <v>362</v>
      </c>
      <c r="B11" s="32" t="s">
        <v>334</v>
      </c>
      <c r="C11" s="32" t="s">
        <v>335</v>
      </c>
      <c r="D11" s="32" t="s">
        <v>363</v>
      </c>
      <c r="E11" s="32">
        <v>9866250123</v>
      </c>
      <c r="F11" s="32" t="s">
        <v>337</v>
      </c>
      <c r="G11" s="32" t="s">
        <v>347</v>
      </c>
      <c r="H11" s="32">
        <v>2519.94</v>
      </c>
      <c r="I11" s="32">
        <v>15</v>
      </c>
      <c r="J11" s="34">
        <v>11123.31</v>
      </c>
      <c r="K11" s="32" t="s">
        <v>351</v>
      </c>
      <c r="L11" s="32" t="str">
        <f t="shared" si="0"/>
        <v>High</v>
      </c>
      <c r="M11" s="32">
        <v>37799.1</v>
      </c>
      <c r="N11" s="33" t="s">
        <v>339</v>
      </c>
      <c r="O11" s="32">
        <v>29.43</v>
      </c>
      <c r="P11">
        <f t="shared" si="1"/>
        <v>29.43</v>
      </c>
    </row>
    <row r="12" spans="1:16" x14ac:dyDescent="0.3">
      <c r="A12" s="32" t="s">
        <v>364</v>
      </c>
      <c r="B12" s="32" t="s">
        <v>345</v>
      </c>
      <c r="C12" s="32" t="s">
        <v>335</v>
      </c>
      <c r="D12" s="32" t="s">
        <v>365</v>
      </c>
      <c r="E12" s="32">
        <v>9884314044</v>
      </c>
      <c r="F12" s="32" t="s">
        <v>337</v>
      </c>
      <c r="G12" s="32" t="s">
        <v>347</v>
      </c>
      <c r="H12" s="32">
        <v>2814.97</v>
      </c>
      <c r="I12" s="32">
        <v>1</v>
      </c>
      <c r="J12" s="32">
        <v>716.15</v>
      </c>
      <c r="K12" s="32" t="s">
        <v>343</v>
      </c>
      <c r="L12" s="32" t="str">
        <f t="shared" si="0"/>
        <v>Low</v>
      </c>
      <c r="M12" s="32">
        <v>2814.97</v>
      </c>
      <c r="N12" s="33" t="s">
        <v>348</v>
      </c>
      <c r="O12" s="32">
        <v>25.44</v>
      </c>
      <c r="P12">
        <f t="shared" si="1"/>
        <v>25.44</v>
      </c>
    </row>
    <row r="13" spans="1:16" x14ac:dyDescent="0.3">
      <c r="A13" s="32" t="s">
        <v>366</v>
      </c>
      <c r="B13" s="32" t="s">
        <v>356</v>
      </c>
      <c r="C13" s="32" t="s">
        <v>335</v>
      </c>
      <c r="D13" s="32" t="s">
        <v>346</v>
      </c>
      <c r="E13" s="32">
        <v>9192128284</v>
      </c>
      <c r="F13" s="32" t="s">
        <v>337</v>
      </c>
      <c r="G13" s="32" t="s">
        <v>220</v>
      </c>
      <c r="H13" s="32">
        <v>841.72</v>
      </c>
      <c r="I13" s="32">
        <v>13</v>
      </c>
      <c r="J13" s="32">
        <v>2130.1799999999998</v>
      </c>
      <c r="K13" s="32" t="s">
        <v>224</v>
      </c>
      <c r="L13" s="32" t="str">
        <f t="shared" si="0"/>
        <v>Medium</v>
      </c>
      <c r="M13" s="32">
        <v>10942.36</v>
      </c>
      <c r="N13" s="33" t="s">
        <v>339</v>
      </c>
      <c r="O13" s="32">
        <v>19.47</v>
      </c>
      <c r="P13">
        <f t="shared" si="1"/>
        <v>19.47</v>
      </c>
    </row>
    <row r="14" spans="1:16" x14ac:dyDescent="0.3">
      <c r="A14" s="32" t="s">
        <v>367</v>
      </c>
      <c r="B14" s="32" t="s">
        <v>368</v>
      </c>
      <c r="C14" s="32" t="s">
        <v>335</v>
      </c>
      <c r="D14" s="32" t="s">
        <v>346</v>
      </c>
      <c r="E14" s="32">
        <v>9731590483</v>
      </c>
      <c r="F14" s="32" t="s">
        <v>206</v>
      </c>
      <c r="G14" s="32" t="s">
        <v>264</v>
      </c>
      <c r="H14" s="32">
        <v>1169.28</v>
      </c>
      <c r="I14" s="32">
        <v>2</v>
      </c>
      <c r="J14" s="32">
        <v>273.95</v>
      </c>
      <c r="K14" s="32" t="s">
        <v>208</v>
      </c>
      <c r="L14" s="32" t="str">
        <f t="shared" si="0"/>
        <v>Low</v>
      </c>
      <c r="M14" s="32">
        <v>2338.56</v>
      </c>
      <c r="N14" s="33" t="s">
        <v>348</v>
      </c>
      <c r="O14" s="32">
        <v>11.71</v>
      </c>
      <c r="P14">
        <f t="shared" si="1"/>
        <v>11.71</v>
      </c>
    </row>
    <row r="15" spans="1:16" x14ac:dyDescent="0.3">
      <c r="A15" s="32" t="s">
        <v>369</v>
      </c>
      <c r="B15" s="32" t="s">
        <v>334</v>
      </c>
      <c r="C15" s="32" t="s">
        <v>335</v>
      </c>
      <c r="D15" s="32" t="s">
        <v>336</v>
      </c>
      <c r="E15" s="32">
        <v>9245312903</v>
      </c>
      <c r="F15" s="32" t="s">
        <v>341</v>
      </c>
      <c r="G15" s="32" t="s">
        <v>268</v>
      </c>
      <c r="H15" s="32">
        <v>2320.0300000000002</v>
      </c>
      <c r="I15" s="32">
        <v>3</v>
      </c>
      <c r="J15" s="32">
        <v>1260.55</v>
      </c>
      <c r="K15" s="32" t="s">
        <v>208</v>
      </c>
      <c r="L15" s="32" t="str">
        <f t="shared" si="0"/>
        <v>Low</v>
      </c>
      <c r="M15" s="32">
        <v>6960.09</v>
      </c>
      <c r="N15" s="33" t="s">
        <v>352</v>
      </c>
      <c r="O15" s="32">
        <v>18.11</v>
      </c>
      <c r="P15">
        <f t="shared" si="1"/>
        <v>18.11</v>
      </c>
    </row>
    <row r="16" spans="1:16" x14ac:dyDescent="0.3">
      <c r="A16" s="32" t="s">
        <v>370</v>
      </c>
      <c r="B16" s="32" t="s">
        <v>368</v>
      </c>
      <c r="C16" s="32" t="s">
        <v>335</v>
      </c>
      <c r="D16" s="32" t="s">
        <v>346</v>
      </c>
      <c r="E16" s="32">
        <v>9587137236</v>
      </c>
      <c r="F16" s="32" t="s">
        <v>337</v>
      </c>
      <c r="G16" s="32" t="s">
        <v>347</v>
      </c>
      <c r="H16" s="32">
        <v>1780.66</v>
      </c>
      <c r="I16" s="32">
        <v>11</v>
      </c>
      <c r="J16" s="32">
        <v>2826.93</v>
      </c>
      <c r="K16" s="32" t="s">
        <v>224</v>
      </c>
      <c r="L16" s="32" t="str">
        <f t="shared" si="0"/>
        <v>Medium</v>
      </c>
      <c r="M16" s="32">
        <v>19587.259999999998</v>
      </c>
      <c r="N16" s="33" t="s">
        <v>339</v>
      </c>
      <c r="O16" s="32">
        <v>14.43</v>
      </c>
      <c r="P16">
        <f t="shared" si="1"/>
        <v>14.43</v>
      </c>
    </row>
    <row r="17" spans="1:16" x14ac:dyDescent="0.3">
      <c r="A17" s="32" t="s">
        <v>371</v>
      </c>
      <c r="B17" s="32" t="s">
        <v>368</v>
      </c>
      <c r="C17" s="32" t="s">
        <v>335</v>
      </c>
      <c r="D17" s="32" t="s">
        <v>357</v>
      </c>
      <c r="E17" s="32">
        <v>9161819590</v>
      </c>
      <c r="F17" s="32" t="s">
        <v>206</v>
      </c>
      <c r="G17" s="32" t="s">
        <v>372</v>
      </c>
      <c r="H17" s="32">
        <v>2672</v>
      </c>
      <c r="I17" s="32">
        <v>15</v>
      </c>
      <c r="J17" s="32">
        <v>4719.91</v>
      </c>
      <c r="K17" s="32" t="s">
        <v>351</v>
      </c>
      <c r="L17" s="32" t="str">
        <f t="shared" si="0"/>
        <v>High</v>
      </c>
      <c r="M17" s="32">
        <v>40080</v>
      </c>
      <c r="N17" s="33" t="s">
        <v>339</v>
      </c>
      <c r="O17" s="32">
        <v>11.78</v>
      </c>
      <c r="P17">
        <f t="shared" si="1"/>
        <v>11.78</v>
      </c>
    </row>
    <row r="18" spans="1:16" x14ac:dyDescent="0.3">
      <c r="A18" s="32" t="s">
        <v>373</v>
      </c>
      <c r="B18" s="32" t="s">
        <v>345</v>
      </c>
      <c r="C18" s="32" t="s">
        <v>335</v>
      </c>
      <c r="D18" s="32" t="s">
        <v>346</v>
      </c>
      <c r="E18" s="32">
        <v>9551484924</v>
      </c>
      <c r="F18" s="32" t="s">
        <v>337</v>
      </c>
      <c r="G18" s="32" t="s">
        <v>374</v>
      </c>
      <c r="H18" s="32">
        <v>824.49</v>
      </c>
      <c r="I18" s="32">
        <v>9</v>
      </c>
      <c r="J18" s="32">
        <v>1403.14</v>
      </c>
      <c r="K18" s="32" t="s">
        <v>375</v>
      </c>
      <c r="L18" s="32" t="str">
        <f t="shared" si="0"/>
        <v>Low</v>
      </c>
      <c r="M18" s="32">
        <v>7420.41</v>
      </c>
      <c r="N18" s="33" t="s">
        <v>352</v>
      </c>
      <c r="O18" s="32">
        <v>18.91</v>
      </c>
      <c r="P18">
        <f t="shared" si="1"/>
        <v>18.91</v>
      </c>
    </row>
    <row r="19" spans="1:16" x14ac:dyDescent="0.3">
      <c r="A19" s="32" t="s">
        <v>376</v>
      </c>
      <c r="B19" s="32" t="s">
        <v>356</v>
      </c>
      <c r="C19" s="32" t="s">
        <v>335</v>
      </c>
      <c r="D19" s="32" t="s">
        <v>377</v>
      </c>
      <c r="E19" s="35">
        <v>91682255459</v>
      </c>
      <c r="F19" s="32" t="s">
        <v>206</v>
      </c>
      <c r="G19" s="32" t="s">
        <v>236</v>
      </c>
      <c r="H19" s="32">
        <v>2896.96</v>
      </c>
      <c r="I19" s="32">
        <v>7</v>
      </c>
      <c r="J19" s="32">
        <v>3528.3</v>
      </c>
      <c r="K19" s="32" t="s">
        <v>343</v>
      </c>
      <c r="L19" s="32" t="str">
        <f t="shared" si="0"/>
        <v>High</v>
      </c>
      <c r="M19" s="32">
        <v>20278.72</v>
      </c>
      <c r="N19" s="33" t="s">
        <v>339</v>
      </c>
      <c r="O19" s="32">
        <v>17.399999999999999</v>
      </c>
      <c r="P19">
        <f t="shared" si="1"/>
        <v>17.399999999999999</v>
      </c>
    </row>
    <row r="20" spans="1:16" x14ac:dyDescent="0.3">
      <c r="A20" s="32" t="s">
        <v>378</v>
      </c>
      <c r="B20" s="32" t="s">
        <v>345</v>
      </c>
      <c r="C20" s="32" t="s">
        <v>335</v>
      </c>
      <c r="D20" s="32" t="s">
        <v>361</v>
      </c>
      <c r="E20" s="32">
        <v>9277023818</v>
      </c>
      <c r="F20" s="32" t="s">
        <v>206</v>
      </c>
      <c r="G20" s="32" t="s">
        <v>372</v>
      </c>
      <c r="H20" s="32">
        <v>1235.32</v>
      </c>
      <c r="I20" s="32">
        <v>9</v>
      </c>
      <c r="J20" s="32">
        <v>2542.0700000000002</v>
      </c>
      <c r="K20" s="32" t="s">
        <v>375</v>
      </c>
      <c r="L20" s="32" t="str">
        <f t="shared" si="0"/>
        <v>Medium</v>
      </c>
      <c r="M20" s="32">
        <v>11117.88</v>
      </c>
      <c r="N20" s="33" t="s">
        <v>339</v>
      </c>
      <c r="O20" s="32">
        <v>22.86</v>
      </c>
      <c r="P20">
        <f t="shared" si="1"/>
        <v>22.86</v>
      </c>
    </row>
    <row r="21" spans="1:16" x14ac:dyDescent="0.3">
      <c r="A21" s="32" t="s">
        <v>379</v>
      </c>
      <c r="B21" s="32" t="s">
        <v>356</v>
      </c>
      <c r="C21" s="32" t="s">
        <v>335</v>
      </c>
      <c r="D21" s="32" t="s">
        <v>363</v>
      </c>
      <c r="E21" s="32">
        <v>9670448490</v>
      </c>
      <c r="F21" s="32" t="s">
        <v>341</v>
      </c>
      <c r="G21" s="32" t="s">
        <v>342</v>
      </c>
      <c r="H21" s="32">
        <v>2168.33</v>
      </c>
      <c r="I21" s="32">
        <v>3</v>
      </c>
      <c r="J21" s="32">
        <v>1394.93</v>
      </c>
      <c r="K21" s="32" t="s">
        <v>351</v>
      </c>
      <c r="L21" s="32" t="str">
        <f t="shared" si="0"/>
        <v>Low</v>
      </c>
      <c r="M21" s="32">
        <v>6504.99</v>
      </c>
      <c r="N21" s="33" t="s">
        <v>352</v>
      </c>
      <c r="O21" s="32">
        <v>21.44</v>
      </c>
      <c r="P21">
        <f t="shared" si="1"/>
        <v>21.44</v>
      </c>
    </row>
    <row r="22" spans="1:16" x14ac:dyDescent="0.3">
      <c r="A22" s="32" t="s">
        <v>380</v>
      </c>
      <c r="B22" s="32" t="s">
        <v>356</v>
      </c>
      <c r="C22" s="32" t="s">
        <v>335</v>
      </c>
      <c r="D22" s="32" t="s">
        <v>346</v>
      </c>
      <c r="E22" s="32">
        <v>9123788207</v>
      </c>
      <c r="F22" s="32" t="s">
        <v>337</v>
      </c>
      <c r="G22" s="32" t="s">
        <v>374</v>
      </c>
      <c r="H22" s="32">
        <v>2654.54</v>
      </c>
      <c r="I22" s="32">
        <v>5</v>
      </c>
      <c r="J22" s="32">
        <v>3308.52</v>
      </c>
      <c r="K22" s="32" t="s">
        <v>375</v>
      </c>
      <c r="L22" s="32" t="str">
        <f t="shared" si="0"/>
        <v>Medium</v>
      </c>
      <c r="M22" s="32">
        <v>13272.7</v>
      </c>
      <c r="N22" s="33" t="s">
        <v>339</v>
      </c>
      <c r="O22" s="32">
        <v>24.93</v>
      </c>
      <c r="P22">
        <f t="shared" si="1"/>
        <v>24.93</v>
      </c>
    </row>
    <row r="23" spans="1:16" x14ac:dyDescent="0.3">
      <c r="A23" s="32" t="s">
        <v>381</v>
      </c>
      <c r="B23" s="32" t="s">
        <v>334</v>
      </c>
      <c r="C23" s="32" t="s">
        <v>335</v>
      </c>
      <c r="D23" s="32" t="s">
        <v>357</v>
      </c>
      <c r="E23" s="35">
        <v>99831923457</v>
      </c>
      <c r="F23" s="32" t="s">
        <v>206</v>
      </c>
      <c r="G23" s="32" t="s">
        <v>223</v>
      </c>
      <c r="H23" s="32">
        <v>1313.77</v>
      </c>
      <c r="I23" s="32">
        <v>7</v>
      </c>
      <c r="J23" s="32">
        <v>2435.5500000000002</v>
      </c>
      <c r="K23" s="32" t="s">
        <v>351</v>
      </c>
      <c r="L23" s="32" t="str">
        <f t="shared" si="0"/>
        <v>Low</v>
      </c>
      <c r="M23" s="32">
        <v>9196.39</v>
      </c>
      <c r="N23" s="33" t="s">
        <v>352</v>
      </c>
      <c r="O23" s="32">
        <v>26.48</v>
      </c>
      <c r="P23">
        <f t="shared" si="1"/>
        <v>26.48</v>
      </c>
    </row>
    <row r="24" spans="1:16" x14ac:dyDescent="0.3">
      <c r="A24" s="32" t="s">
        <v>382</v>
      </c>
      <c r="B24" s="32" t="s">
        <v>356</v>
      </c>
      <c r="C24" s="32" t="s">
        <v>335</v>
      </c>
      <c r="D24" s="32" t="s">
        <v>363</v>
      </c>
      <c r="E24" s="32">
        <v>9822358874</v>
      </c>
      <c r="F24" s="32" t="s">
        <v>206</v>
      </c>
      <c r="G24" s="32" t="s">
        <v>236</v>
      </c>
      <c r="H24" s="32">
        <v>1602.24</v>
      </c>
      <c r="I24" s="32">
        <v>13</v>
      </c>
      <c r="J24" s="32">
        <v>3082.85</v>
      </c>
      <c r="K24" s="32" t="s">
        <v>375</v>
      </c>
      <c r="L24" s="32" t="str">
        <f t="shared" si="0"/>
        <v>High</v>
      </c>
      <c r="M24" s="32">
        <v>20829.12</v>
      </c>
      <c r="N24" s="33" t="s">
        <v>339</v>
      </c>
      <c r="O24" s="32">
        <v>14.8</v>
      </c>
      <c r="P24">
        <f t="shared" si="1"/>
        <v>14.8</v>
      </c>
    </row>
    <row r="25" spans="1:16" x14ac:dyDescent="0.3">
      <c r="A25" s="32" t="s">
        <v>383</v>
      </c>
      <c r="B25" s="32" t="s">
        <v>334</v>
      </c>
      <c r="C25" s="32" t="s">
        <v>335</v>
      </c>
      <c r="D25" s="32" t="s">
        <v>377</v>
      </c>
      <c r="E25" s="32">
        <v>9497595031</v>
      </c>
      <c r="F25" s="32" t="s">
        <v>341</v>
      </c>
      <c r="G25" s="32" t="s">
        <v>350</v>
      </c>
      <c r="H25" s="32">
        <v>592.33000000000004</v>
      </c>
      <c r="I25" s="32">
        <v>4</v>
      </c>
      <c r="J25" s="32">
        <v>539.64</v>
      </c>
      <c r="K25" s="32" t="s">
        <v>343</v>
      </c>
      <c r="L25" s="32" t="str">
        <f t="shared" si="0"/>
        <v>Low</v>
      </c>
      <c r="M25" s="32">
        <v>2369.3200000000002</v>
      </c>
      <c r="N25" s="33" t="s">
        <v>348</v>
      </c>
      <c r="O25" s="32">
        <v>22.78</v>
      </c>
      <c r="P25">
        <f t="shared" si="1"/>
        <v>22.78</v>
      </c>
    </row>
    <row r="26" spans="1:16" x14ac:dyDescent="0.3">
      <c r="A26" s="32" t="s">
        <v>384</v>
      </c>
      <c r="B26" s="32" t="s">
        <v>345</v>
      </c>
      <c r="C26" s="32" t="s">
        <v>335</v>
      </c>
      <c r="D26" s="32" t="s">
        <v>365</v>
      </c>
      <c r="E26" s="32">
        <v>9781615192</v>
      </c>
      <c r="F26" s="32" t="s">
        <v>206</v>
      </c>
      <c r="G26" s="32" t="s">
        <v>372</v>
      </c>
      <c r="H26" s="32">
        <v>589.14</v>
      </c>
      <c r="I26" s="32">
        <v>8</v>
      </c>
      <c r="J26" s="32">
        <v>1252.56</v>
      </c>
      <c r="K26" s="32" t="s">
        <v>351</v>
      </c>
      <c r="L26" s="32" t="str">
        <f t="shared" si="0"/>
        <v>Low</v>
      </c>
      <c r="M26" s="32">
        <v>4713.12</v>
      </c>
      <c r="N26" s="33" t="s">
        <v>348</v>
      </c>
      <c r="O26" s="32">
        <v>26.58</v>
      </c>
      <c r="P26">
        <f t="shared" si="1"/>
        <v>26.58</v>
      </c>
    </row>
    <row r="27" spans="1:16" x14ac:dyDescent="0.3">
      <c r="A27" s="32" t="s">
        <v>385</v>
      </c>
      <c r="B27" s="32" t="s">
        <v>368</v>
      </c>
      <c r="C27" s="32" t="s">
        <v>335</v>
      </c>
      <c r="D27" s="32" t="s">
        <v>377</v>
      </c>
      <c r="E27" s="32">
        <v>9310431691</v>
      </c>
      <c r="F27" s="32" t="s">
        <v>341</v>
      </c>
      <c r="G27" s="32" t="s">
        <v>359</v>
      </c>
      <c r="H27" s="32">
        <v>2354.6</v>
      </c>
      <c r="I27" s="32">
        <v>4</v>
      </c>
      <c r="J27" s="32">
        <v>2575.4299999999998</v>
      </c>
      <c r="K27" s="32" t="s">
        <v>208</v>
      </c>
      <c r="L27" s="32" t="str">
        <f t="shared" si="0"/>
        <v>Low</v>
      </c>
      <c r="M27" s="32">
        <v>9418.4</v>
      </c>
      <c r="N27" s="33" t="s">
        <v>352</v>
      </c>
      <c r="O27" s="32">
        <v>27.34</v>
      </c>
      <c r="P27">
        <f t="shared" si="1"/>
        <v>27.34</v>
      </c>
    </row>
    <row r="28" spans="1:16" x14ac:dyDescent="0.3">
      <c r="A28" s="32" t="s">
        <v>386</v>
      </c>
      <c r="B28" s="32" t="s">
        <v>356</v>
      </c>
      <c r="C28" s="32" t="s">
        <v>335</v>
      </c>
      <c r="D28" s="32" t="s">
        <v>377</v>
      </c>
      <c r="E28" s="32">
        <v>9375633062</v>
      </c>
      <c r="F28" s="32" t="s">
        <v>206</v>
      </c>
      <c r="G28" s="32" t="s">
        <v>230</v>
      </c>
      <c r="H28" s="32">
        <v>1920.55</v>
      </c>
      <c r="I28" s="32">
        <v>6</v>
      </c>
      <c r="J28" s="32">
        <v>2254.59</v>
      </c>
      <c r="K28" s="32" t="s">
        <v>208</v>
      </c>
      <c r="L28" s="32" t="str">
        <f t="shared" si="0"/>
        <v>Medium</v>
      </c>
      <c r="M28" s="32">
        <v>11523.3</v>
      </c>
      <c r="N28" s="33" t="s">
        <v>339</v>
      </c>
      <c r="O28" s="32">
        <v>19.57</v>
      </c>
      <c r="P28">
        <f t="shared" si="1"/>
        <v>19.57</v>
      </c>
    </row>
    <row r="29" spans="1:16" x14ac:dyDescent="0.3">
      <c r="A29" s="32" t="s">
        <v>387</v>
      </c>
      <c r="B29" s="32" t="s">
        <v>356</v>
      </c>
      <c r="C29" s="32" t="s">
        <v>335</v>
      </c>
      <c r="D29" s="32" t="s">
        <v>346</v>
      </c>
      <c r="E29" s="32">
        <v>9958467371</v>
      </c>
      <c r="F29" s="32" t="s">
        <v>337</v>
      </c>
      <c r="G29" s="32" t="s">
        <v>228</v>
      </c>
      <c r="H29" s="32">
        <v>1086.4100000000001</v>
      </c>
      <c r="I29" s="32">
        <v>7</v>
      </c>
      <c r="J29" s="32">
        <v>2066.7600000000002</v>
      </c>
      <c r="K29" s="32" t="s">
        <v>208</v>
      </c>
      <c r="L29" s="32" t="str">
        <f t="shared" si="0"/>
        <v>Low</v>
      </c>
      <c r="M29" s="32">
        <v>7604.87</v>
      </c>
      <c r="N29" s="33" t="s">
        <v>352</v>
      </c>
      <c r="O29" s="32">
        <v>27.18</v>
      </c>
      <c r="P29">
        <f t="shared" si="1"/>
        <v>27.18</v>
      </c>
    </row>
    <row r="30" spans="1:16" x14ac:dyDescent="0.3">
      <c r="A30" s="32" t="s">
        <v>388</v>
      </c>
      <c r="B30" s="32" t="s">
        <v>356</v>
      </c>
      <c r="C30" s="32" t="s">
        <v>335</v>
      </c>
      <c r="D30" s="32" t="s">
        <v>346</v>
      </c>
      <c r="E30" s="32">
        <v>9485913642</v>
      </c>
      <c r="F30" s="32" t="s">
        <v>341</v>
      </c>
      <c r="G30" s="32" t="s">
        <v>268</v>
      </c>
      <c r="H30" s="32">
        <v>1181.07</v>
      </c>
      <c r="I30" s="32">
        <v>13</v>
      </c>
      <c r="J30" s="32">
        <v>3821.07</v>
      </c>
      <c r="K30" s="32" t="s">
        <v>351</v>
      </c>
      <c r="L30" s="32" t="str">
        <f t="shared" si="0"/>
        <v>Medium</v>
      </c>
      <c r="M30" s="32">
        <v>15353.91</v>
      </c>
      <c r="N30" s="33" t="s">
        <v>339</v>
      </c>
      <c r="O30" s="32">
        <v>24.89</v>
      </c>
      <c r="P30">
        <f t="shared" si="1"/>
        <v>24.89</v>
      </c>
    </row>
    <row r="31" spans="1:16" x14ac:dyDescent="0.3">
      <c r="A31" s="32" t="s">
        <v>389</v>
      </c>
      <c r="B31" s="32" t="s">
        <v>356</v>
      </c>
      <c r="C31" s="32" t="s">
        <v>335</v>
      </c>
      <c r="D31" s="32" t="s">
        <v>377</v>
      </c>
      <c r="E31" s="32">
        <v>9942727052</v>
      </c>
      <c r="F31" s="32" t="s">
        <v>341</v>
      </c>
      <c r="G31" s="32" t="s">
        <v>390</v>
      </c>
      <c r="H31" s="32">
        <v>2521.1999999999998</v>
      </c>
      <c r="I31" s="32">
        <v>8</v>
      </c>
      <c r="J31" s="34">
        <v>6046.68</v>
      </c>
      <c r="K31" s="32" t="s">
        <v>208</v>
      </c>
      <c r="L31" s="32" t="str">
        <f t="shared" si="0"/>
        <v>High</v>
      </c>
      <c r="M31" s="32">
        <v>20169.599999999999</v>
      </c>
      <c r="N31" s="33" t="s">
        <v>339</v>
      </c>
      <c r="O31" s="32">
        <v>29.98</v>
      </c>
      <c r="P31">
        <f t="shared" si="1"/>
        <v>29.98</v>
      </c>
    </row>
    <row r="32" spans="1:16" x14ac:dyDescent="0.3">
      <c r="A32" s="32" t="s">
        <v>391</v>
      </c>
      <c r="B32" s="32" t="s">
        <v>345</v>
      </c>
      <c r="C32" s="32" t="s">
        <v>335</v>
      </c>
      <c r="D32" s="32" t="s">
        <v>363</v>
      </c>
      <c r="E32" s="32">
        <v>9164209990</v>
      </c>
      <c r="F32" s="32" t="s">
        <v>337</v>
      </c>
      <c r="G32" s="32" t="s">
        <v>220</v>
      </c>
      <c r="H32" s="32">
        <v>1741.71</v>
      </c>
      <c r="I32" s="32">
        <v>15</v>
      </c>
      <c r="J32" s="32">
        <v>4026.14</v>
      </c>
      <c r="K32" s="32" t="s">
        <v>224</v>
      </c>
      <c r="L32" s="32" t="str">
        <f t="shared" si="0"/>
        <v>High</v>
      </c>
      <c r="M32" s="32">
        <v>26125.65</v>
      </c>
      <c r="N32" s="33" t="s">
        <v>339</v>
      </c>
      <c r="O32" s="32">
        <v>15.41</v>
      </c>
      <c r="P32">
        <f t="shared" si="1"/>
        <v>15.41</v>
      </c>
    </row>
    <row r="33" spans="1:16" x14ac:dyDescent="0.3">
      <c r="A33" s="32" t="s">
        <v>392</v>
      </c>
      <c r="B33" s="32" t="s">
        <v>345</v>
      </c>
      <c r="C33" s="32" t="s">
        <v>335</v>
      </c>
      <c r="D33" s="32" t="s">
        <v>377</v>
      </c>
      <c r="E33" s="32">
        <v>9972130283</v>
      </c>
      <c r="F33" s="32" t="s">
        <v>341</v>
      </c>
      <c r="G33" s="32" t="s">
        <v>350</v>
      </c>
      <c r="H33" s="32">
        <v>1691.18</v>
      </c>
      <c r="I33" s="32">
        <v>9</v>
      </c>
      <c r="J33" s="32">
        <v>3286.83</v>
      </c>
      <c r="K33" s="32" t="s">
        <v>343</v>
      </c>
      <c r="L33" s="32" t="str">
        <f t="shared" si="0"/>
        <v>Medium</v>
      </c>
      <c r="M33" s="32">
        <v>15220.62</v>
      </c>
      <c r="N33" s="33" t="s">
        <v>339</v>
      </c>
      <c r="O33" s="32">
        <v>21.59</v>
      </c>
      <c r="P33">
        <f t="shared" si="1"/>
        <v>21.59</v>
      </c>
    </row>
    <row r="34" spans="1:16" x14ac:dyDescent="0.3">
      <c r="A34" s="32" t="s">
        <v>393</v>
      </c>
      <c r="B34" s="32" t="s">
        <v>345</v>
      </c>
      <c r="C34" s="32" t="s">
        <v>335</v>
      </c>
      <c r="D34" s="32" t="s">
        <v>377</v>
      </c>
      <c r="E34" s="32">
        <v>9305312346</v>
      </c>
      <c r="F34" s="32" t="s">
        <v>337</v>
      </c>
      <c r="G34" s="32" t="s">
        <v>374</v>
      </c>
      <c r="H34" s="32">
        <v>2430.4899999999998</v>
      </c>
      <c r="I34" s="32">
        <v>1</v>
      </c>
      <c r="J34" s="32">
        <v>538.34</v>
      </c>
      <c r="K34" s="32" t="s">
        <v>375</v>
      </c>
      <c r="L34" s="32" t="str">
        <f t="shared" si="0"/>
        <v>Low</v>
      </c>
      <c r="M34" s="32">
        <v>2430.4899999999998</v>
      </c>
      <c r="N34" s="33" t="s">
        <v>348</v>
      </c>
      <c r="O34" s="32">
        <v>22.15</v>
      </c>
      <c r="P34">
        <f t="shared" si="1"/>
        <v>22.15</v>
      </c>
    </row>
    <row r="35" spans="1:16" x14ac:dyDescent="0.3">
      <c r="A35" s="32" t="s">
        <v>394</v>
      </c>
      <c r="B35" s="32" t="s">
        <v>334</v>
      </c>
      <c r="C35" s="32" t="s">
        <v>335</v>
      </c>
      <c r="D35" s="32" t="s">
        <v>377</v>
      </c>
      <c r="E35" s="32">
        <v>9403336927</v>
      </c>
      <c r="F35" s="32" t="s">
        <v>337</v>
      </c>
      <c r="G35" s="32" t="s">
        <v>228</v>
      </c>
      <c r="H35" s="32">
        <v>1937.5</v>
      </c>
      <c r="I35" s="32">
        <v>10</v>
      </c>
      <c r="J35" s="32">
        <v>2548.08</v>
      </c>
      <c r="K35" s="32" t="s">
        <v>224</v>
      </c>
      <c r="L35" s="32" t="str">
        <f t="shared" si="0"/>
        <v>Medium</v>
      </c>
      <c r="M35" s="32">
        <v>19375</v>
      </c>
      <c r="N35" s="33" t="s">
        <v>339</v>
      </c>
      <c r="O35" s="32">
        <v>13.15</v>
      </c>
      <c r="P35">
        <f t="shared" si="1"/>
        <v>13.15</v>
      </c>
    </row>
    <row r="36" spans="1:16" x14ac:dyDescent="0.3">
      <c r="A36" s="32" t="s">
        <v>395</v>
      </c>
      <c r="B36" s="32" t="s">
        <v>368</v>
      </c>
      <c r="C36" s="32" t="s">
        <v>335</v>
      </c>
      <c r="D36" s="32" t="s">
        <v>336</v>
      </c>
      <c r="E36" s="32">
        <v>9209432112</v>
      </c>
      <c r="F36" s="32" t="s">
        <v>337</v>
      </c>
      <c r="G36" s="32" t="s">
        <v>347</v>
      </c>
      <c r="H36" s="32">
        <v>2848.61</v>
      </c>
      <c r="I36" s="32">
        <v>15</v>
      </c>
      <c r="J36" s="34">
        <v>6188.69</v>
      </c>
      <c r="K36" s="32" t="s">
        <v>375</v>
      </c>
      <c r="L36" s="32" t="str">
        <f t="shared" si="0"/>
        <v>High</v>
      </c>
      <c r="M36" s="32">
        <v>42729.15</v>
      </c>
      <c r="N36" s="33" t="s">
        <v>339</v>
      </c>
      <c r="O36" s="32">
        <v>14.48</v>
      </c>
      <c r="P36">
        <f t="shared" si="1"/>
        <v>14.48</v>
      </c>
    </row>
    <row r="37" spans="1:16" x14ac:dyDescent="0.3">
      <c r="A37" s="32" t="s">
        <v>396</v>
      </c>
      <c r="B37" s="32" t="s">
        <v>368</v>
      </c>
      <c r="C37" s="32" t="s">
        <v>335</v>
      </c>
      <c r="D37" s="32" t="s">
        <v>361</v>
      </c>
      <c r="E37" s="35">
        <v>92886736565</v>
      </c>
      <c r="F37" s="32" t="s">
        <v>341</v>
      </c>
      <c r="G37" s="32" t="s">
        <v>390</v>
      </c>
      <c r="H37" s="32">
        <v>537.01</v>
      </c>
      <c r="I37" s="32">
        <v>15</v>
      </c>
      <c r="J37" s="32">
        <v>848.33</v>
      </c>
      <c r="K37" s="32" t="s">
        <v>375</v>
      </c>
      <c r="L37" s="32" t="str">
        <f t="shared" si="0"/>
        <v>Low</v>
      </c>
      <c r="M37" s="32">
        <v>8055.15</v>
      </c>
      <c r="N37" s="33" t="s">
        <v>352</v>
      </c>
      <c r="O37" s="32">
        <v>10.53</v>
      </c>
      <c r="P37">
        <f t="shared" si="1"/>
        <v>10.53</v>
      </c>
    </row>
    <row r="38" spans="1:16" x14ac:dyDescent="0.3">
      <c r="A38" s="32" t="s">
        <v>397</v>
      </c>
      <c r="B38" s="32" t="s">
        <v>356</v>
      </c>
      <c r="C38" s="32" t="s">
        <v>335</v>
      </c>
      <c r="D38" s="32" t="s">
        <v>336</v>
      </c>
      <c r="E38" s="32">
        <v>9696039067</v>
      </c>
      <c r="F38" s="32" t="s">
        <v>341</v>
      </c>
      <c r="G38" s="32" t="s">
        <v>350</v>
      </c>
      <c r="H38" s="32">
        <v>2052.79</v>
      </c>
      <c r="I38" s="32">
        <v>1</v>
      </c>
      <c r="J38" s="32">
        <v>296.79000000000002</v>
      </c>
      <c r="K38" s="32" t="s">
        <v>343</v>
      </c>
      <c r="L38" s="32" t="str">
        <f t="shared" si="0"/>
        <v>Low</v>
      </c>
      <c r="M38" s="32">
        <v>2052.79</v>
      </c>
      <c r="N38" s="33" t="s">
        <v>348</v>
      </c>
      <c r="O38" s="32">
        <v>14.46</v>
      </c>
      <c r="P38">
        <f t="shared" si="1"/>
        <v>14.46</v>
      </c>
    </row>
    <row r="39" spans="1:16" x14ac:dyDescent="0.3">
      <c r="A39" s="32" t="s">
        <v>398</v>
      </c>
      <c r="B39" s="32" t="s">
        <v>356</v>
      </c>
      <c r="C39" s="32" t="s">
        <v>335</v>
      </c>
      <c r="D39" s="32" t="s">
        <v>361</v>
      </c>
      <c r="E39" s="32">
        <v>9729755086</v>
      </c>
      <c r="F39" s="32" t="s">
        <v>337</v>
      </c>
      <c r="G39" s="32" t="s">
        <v>374</v>
      </c>
      <c r="H39" s="32">
        <v>1708.1</v>
      </c>
      <c r="I39" s="32">
        <v>3</v>
      </c>
      <c r="J39" s="32">
        <v>897.22</v>
      </c>
      <c r="K39" s="32" t="s">
        <v>208</v>
      </c>
      <c r="L39" s="32" t="str">
        <f t="shared" si="0"/>
        <v>Low</v>
      </c>
      <c r="M39" s="32">
        <v>5124.3</v>
      </c>
      <c r="N39" s="33" t="s">
        <v>352</v>
      </c>
      <c r="O39" s="32">
        <v>17.510000000000002</v>
      </c>
      <c r="P39">
        <f t="shared" si="1"/>
        <v>17.510000000000002</v>
      </c>
    </row>
    <row r="40" spans="1:16" x14ac:dyDescent="0.3">
      <c r="A40" s="32" t="s">
        <v>399</v>
      </c>
      <c r="B40" s="32" t="s">
        <v>356</v>
      </c>
      <c r="C40" s="32" t="s">
        <v>335</v>
      </c>
      <c r="D40" s="32" t="s">
        <v>377</v>
      </c>
      <c r="E40" s="32">
        <v>9291717779</v>
      </c>
      <c r="F40" s="32" t="s">
        <v>206</v>
      </c>
      <c r="G40" s="32" t="s">
        <v>236</v>
      </c>
      <c r="H40" s="32">
        <v>1616.55</v>
      </c>
      <c r="I40" s="32">
        <v>14</v>
      </c>
      <c r="J40" s="34">
        <v>6621.29</v>
      </c>
      <c r="K40" s="32" t="s">
        <v>208</v>
      </c>
      <c r="L40" s="32" t="str">
        <f t="shared" si="0"/>
        <v>High</v>
      </c>
      <c r="M40" s="32">
        <v>22631.7</v>
      </c>
      <c r="N40" s="33" t="s">
        <v>339</v>
      </c>
      <c r="O40" s="32">
        <v>29.26</v>
      </c>
      <c r="P40">
        <f t="shared" si="1"/>
        <v>29.26</v>
      </c>
    </row>
    <row r="41" spans="1:16" x14ac:dyDescent="0.3">
      <c r="A41" s="32" t="s">
        <v>400</v>
      </c>
      <c r="B41" s="32" t="s">
        <v>356</v>
      </c>
      <c r="C41" s="32" t="s">
        <v>335</v>
      </c>
      <c r="D41" s="32" t="s">
        <v>336</v>
      </c>
      <c r="E41" s="32">
        <v>9596984707</v>
      </c>
      <c r="F41" s="32" t="s">
        <v>337</v>
      </c>
      <c r="G41" s="32" t="s">
        <v>220</v>
      </c>
      <c r="H41" s="32">
        <v>1774.62</v>
      </c>
      <c r="I41" s="32">
        <v>7</v>
      </c>
      <c r="J41" s="32">
        <v>3378.16</v>
      </c>
      <c r="K41" s="32" t="s">
        <v>208</v>
      </c>
      <c r="L41" s="32" t="str">
        <f t="shared" si="0"/>
        <v>Medium</v>
      </c>
      <c r="M41" s="32">
        <v>12422.34</v>
      </c>
      <c r="N41" s="33" t="s">
        <v>339</v>
      </c>
      <c r="O41" s="32">
        <v>27.19</v>
      </c>
      <c r="P41">
        <f t="shared" si="1"/>
        <v>27.19</v>
      </c>
    </row>
    <row r="42" spans="1:16" x14ac:dyDescent="0.3">
      <c r="A42" s="32" t="s">
        <v>401</v>
      </c>
      <c r="B42" s="32" t="s">
        <v>345</v>
      </c>
      <c r="C42" s="32" t="s">
        <v>335</v>
      </c>
      <c r="D42" s="32" t="s">
        <v>363</v>
      </c>
      <c r="E42" s="32">
        <v>9621477109</v>
      </c>
      <c r="F42" s="32" t="s">
        <v>206</v>
      </c>
      <c r="G42" s="32" t="s">
        <v>230</v>
      </c>
      <c r="H42" s="32">
        <v>644.14</v>
      </c>
      <c r="I42" s="32">
        <v>12</v>
      </c>
      <c r="J42" s="32">
        <v>988.52</v>
      </c>
      <c r="K42" s="32" t="s">
        <v>351</v>
      </c>
      <c r="L42" s="32" t="str">
        <f t="shared" si="0"/>
        <v>Low</v>
      </c>
      <c r="M42" s="32">
        <v>7729.68</v>
      </c>
      <c r="N42" s="33" t="s">
        <v>352</v>
      </c>
      <c r="O42" s="32">
        <v>12.79</v>
      </c>
      <c r="P42">
        <f t="shared" si="1"/>
        <v>12.79</v>
      </c>
    </row>
    <row r="43" spans="1:16" x14ac:dyDescent="0.3">
      <c r="A43" s="32" t="s">
        <v>402</v>
      </c>
      <c r="B43" s="32" t="s">
        <v>345</v>
      </c>
      <c r="C43" s="32" t="s">
        <v>335</v>
      </c>
      <c r="D43" s="32" t="s">
        <v>346</v>
      </c>
      <c r="E43" s="32">
        <v>9813614929</v>
      </c>
      <c r="F43" s="32" t="s">
        <v>341</v>
      </c>
      <c r="G43" s="32" t="s">
        <v>350</v>
      </c>
      <c r="H43" s="32">
        <v>1767.47</v>
      </c>
      <c r="I43" s="32">
        <v>13</v>
      </c>
      <c r="J43" s="32">
        <v>3353.4</v>
      </c>
      <c r="K43" s="32" t="s">
        <v>224</v>
      </c>
      <c r="L43" s="32" t="str">
        <f t="shared" si="0"/>
        <v>High</v>
      </c>
      <c r="M43" s="32">
        <v>22977.11</v>
      </c>
      <c r="N43" s="33" t="s">
        <v>339</v>
      </c>
      <c r="O43" s="32">
        <v>14.59</v>
      </c>
      <c r="P43">
        <f t="shared" si="1"/>
        <v>14.59</v>
      </c>
    </row>
    <row r="44" spans="1:16" x14ac:dyDescent="0.3">
      <c r="A44" s="32" t="s">
        <v>403</v>
      </c>
      <c r="B44" s="32" t="s">
        <v>356</v>
      </c>
      <c r="C44" s="32" t="s">
        <v>335</v>
      </c>
      <c r="D44" s="32" t="s">
        <v>357</v>
      </c>
      <c r="E44" s="32">
        <v>9314930259</v>
      </c>
      <c r="F44" s="32" t="s">
        <v>337</v>
      </c>
      <c r="G44" s="32" t="s">
        <v>228</v>
      </c>
      <c r="H44" s="32">
        <v>2506.6</v>
      </c>
      <c r="I44" s="32">
        <v>11</v>
      </c>
      <c r="J44" s="34">
        <v>8011.16</v>
      </c>
      <c r="K44" s="32" t="s">
        <v>224</v>
      </c>
      <c r="L44" s="32" t="str">
        <f t="shared" si="0"/>
        <v>High</v>
      </c>
      <c r="M44" s="32">
        <v>27572.6</v>
      </c>
      <c r="N44" s="33" t="s">
        <v>339</v>
      </c>
      <c r="O44" s="32">
        <v>29.05</v>
      </c>
      <c r="P44">
        <f t="shared" si="1"/>
        <v>29.05</v>
      </c>
    </row>
    <row r="45" spans="1:16" x14ac:dyDescent="0.3">
      <c r="A45" s="32" t="s">
        <v>404</v>
      </c>
      <c r="B45" s="32" t="s">
        <v>334</v>
      </c>
      <c r="C45" s="32" t="s">
        <v>335</v>
      </c>
      <c r="D45" s="32" t="s">
        <v>346</v>
      </c>
      <c r="E45" s="35">
        <v>93262535688</v>
      </c>
      <c r="F45" s="32" t="s">
        <v>206</v>
      </c>
      <c r="G45" s="32" t="s">
        <v>264</v>
      </c>
      <c r="H45" s="32">
        <v>727.87</v>
      </c>
      <c r="I45" s="32">
        <v>2</v>
      </c>
      <c r="J45" s="32">
        <v>385.93</v>
      </c>
      <c r="K45" s="32" t="s">
        <v>208</v>
      </c>
      <c r="L45" s="32" t="str">
        <f t="shared" si="0"/>
        <v>Low</v>
      </c>
      <c r="M45" s="32">
        <v>1455.74</v>
      </c>
      <c r="N45" s="33" t="s">
        <v>348</v>
      </c>
      <c r="O45" s="32">
        <v>26.51</v>
      </c>
      <c r="P45">
        <f t="shared" si="1"/>
        <v>26.51</v>
      </c>
    </row>
    <row r="46" spans="1:16" x14ac:dyDescent="0.3">
      <c r="A46" s="32" t="s">
        <v>405</v>
      </c>
      <c r="B46" s="32" t="s">
        <v>334</v>
      </c>
      <c r="C46" s="32" t="s">
        <v>335</v>
      </c>
      <c r="D46" s="32" t="s">
        <v>377</v>
      </c>
      <c r="E46" s="32">
        <v>9922473225</v>
      </c>
      <c r="F46" s="32" t="s">
        <v>341</v>
      </c>
      <c r="G46" s="32" t="s">
        <v>350</v>
      </c>
      <c r="H46" s="32">
        <v>2509.39</v>
      </c>
      <c r="I46" s="32">
        <v>4</v>
      </c>
      <c r="J46" s="32">
        <v>2607.48</v>
      </c>
      <c r="K46" s="32" t="s">
        <v>208</v>
      </c>
      <c r="L46" s="32" t="str">
        <f t="shared" si="0"/>
        <v>Medium</v>
      </c>
      <c r="M46" s="32">
        <v>10037.56</v>
      </c>
      <c r="N46" s="33" t="s">
        <v>339</v>
      </c>
      <c r="O46" s="32">
        <v>25.98</v>
      </c>
      <c r="P46">
        <f t="shared" si="1"/>
        <v>25.98</v>
      </c>
    </row>
    <row r="47" spans="1:16" x14ac:dyDescent="0.3">
      <c r="A47" s="32" t="s">
        <v>406</v>
      </c>
      <c r="B47" s="32" t="s">
        <v>368</v>
      </c>
      <c r="C47" s="32" t="s">
        <v>335</v>
      </c>
      <c r="D47" s="32" t="s">
        <v>365</v>
      </c>
      <c r="E47" s="32">
        <v>9435049619</v>
      </c>
      <c r="F47" s="32" t="s">
        <v>206</v>
      </c>
      <c r="G47" s="32" t="s">
        <v>372</v>
      </c>
      <c r="H47" s="32">
        <v>254.27</v>
      </c>
      <c r="I47" s="32">
        <v>5</v>
      </c>
      <c r="J47" s="32">
        <v>247.89</v>
      </c>
      <c r="K47" s="32" t="s">
        <v>343</v>
      </c>
      <c r="L47" s="32" t="str">
        <f t="shared" si="0"/>
        <v>Low</v>
      </c>
      <c r="M47" s="32">
        <v>1271.3499999999999</v>
      </c>
      <c r="N47" s="33" t="s">
        <v>348</v>
      </c>
      <c r="O47" s="32">
        <v>19.5</v>
      </c>
      <c r="P47">
        <f t="shared" si="1"/>
        <v>19.5</v>
      </c>
    </row>
    <row r="48" spans="1:16" x14ac:dyDescent="0.3">
      <c r="A48" s="32" t="s">
        <v>407</v>
      </c>
      <c r="B48" s="32" t="s">
        <v>356</v>
      </c>
      <c r="C48" s="32" t="s">
        <v>335</v>
      </c>
      <c r="D48" s="32" t="s">
        <v>377</v>
      </c>
      <c r="E48" s="32">
        <v>9139717689</v>
      </c>
      <c r="F48" s="32" t="s">
        <v>206</v>
      </c>
      <c r="G48" s="32" t="s">
        <v>264</v>
      </c>
      <c r="H48" s="32">
        <v>1104.23</v>
      </c>
      <c r="I48" s="32">
        <v>11</v>
      </c>
      <c r="J48" s="32">
        <v>1883.37</v>
      </c>
      <c r="K48" s="32" t="s">
        <v>208</v>
      </c>
      <c r="L48" s="32" t="str">
        <f t="shared" si="0"/>
        <v>Medium</v>
      </c>
      <c r="M48" s="32">
        <v>12146.53</v>
      </c>
      <c r="N48" s="33" t="s">
        <v>339</v>
      </c>
      <c r="O48" s="32">
        <v>15.51</v>
      </c>
      <c r="P48">
        <f t="shared" si="1"/>
        <v>15.51</v>
      </c>
    </row>
    <row r="49" spans="1:16" x14ac:dyDescent="0.3">
      <c r="A49" s="32" t="s">
        <v>408</v>
      </c>
      <c r="B49" s="32" t="s">
        <v>345</v>
      </c>
      <c r="C49" s="32" t="s">
        <v>335</v>
      </c>
      <c r="D49" s="32" t="s">
        <v>346</v>
      </c>
      <c r="E49" s="32">
        <v>9873282041</v>
      </c>
      <c r="F49" s="32" t="s">
        <v>206</v>
      </c>
      <c r="G49" s="32" t="s">
        <v>223</v>
      </c>
      <c r="H49" s="32">
        <v>861.53</v>
      </c>
      <c r="I49" s="32">
        <v>3</v>
      </c>
      <c r="J49" s="32">
        <v>482.01</v>
      </c>
      <c r="K49" s="32" t="s">
        <v>375</v>
      </c>
      <c r="L49" s="32" t="str">
        <f t="shared" si="0"/>
        <v>Low</v>
      </c>
      <c r="M49" s="32">
        <v>2584.59</v>
      </c>
      <c r="N49" s="33" t="s">
        <v>348</v>
      </c>
      <c r="O49" s="32">
        <v>18.649999999999999</v>
      </c>
      <c r="P49">
        <f t="shared" si="1"/>
        <v>18.649999999999999</v>
      </c>
    </row>
    <row r="50" spans="1:16" x14ac:dyDescent="0.3">
      <c r="A50" s="32" t="s">
        <v>409</v>
      </c>
      <c r="B50" s="32" t="s">
        <v>368</v>
      </c>
      <c r="C50" s="32" t="s">
        <v>335</v>
      </c>
      <c r="D50" s="32" t="s">
        <v>346</v>
      </c>
      <c r="E50" s="32">
        <v>9520705759</v>
      </c>
      <c r="F50" s="32" t="s">
        <v>337</v>
      </c>
      <c r="G50" s="32" t="s">
        <v>347</v>
      </c>
      <c r="H50" s="32">
        <v>940.76</v>
      </c>
      <c r="I50" s="32">
        <v>4</v>
      </c>
      <c r="J50" s="32">
        <v>842.47</v>
      </c>
      <c r="K50" s="32" t="s">
        <v>375</v>
      </c>
      <c r="L50" s="32" t="str">
        <f t="shared" si="0"/>
        <v>Low</v>
      </c>
      <c r="M50" s="32">
        <v>3763.04</v>
      </c>
      <c r="N50" s="33" t="s">
        <v>348</v>
      </c>
      <c r="O50" s="32">
        <v>22.39</v>
      </c>
      <c r="P50">
        <f t="shared" si="1"/>
        <v>22.39</v>
      </c>
    </row>
    <row r="51" spans="1:16" x14ac:dyDescent="0.3">
      <c r="A51" s="32" t="s">
        <v>410</v>
      </c>
      <c r="B51" s="32" t="s">
        <v>356</v>
      </c>
      <c r="C51" s="32" t="s">
        <v>335</v>
      </c>
      <c r="D51" s="32" t="s">
        <v>346</v>
      </c>
      <c r="E51" s="32">
        <v>9648648568</v>
      </c>
      <c r="F51" s="32" t="s">
        <v>337</v>
      </c>
      <c r="G51" s="32" t="s">
        <v>347</v>
      </c>
      <c r="H51" s="32">
        <v>1505.5</v>
      </c>
      <c r="I51" s="32">
        <v>11</v>
      </c>
      <c r="J51" s="32">
        <v>3985.19</v>
      </c>
      <c r="K51" s="32" t="s">
        <v>375</v>
      </c>
      <c r="L51" s="32" t="str">
        <f t="shared" si="0"/>
        <v>Medium</v>
      </c>
      <c r="M51" s="32">
        <v>16560.5</v>
      </c>
      <c r="N51" s="33" t="s">
        <v>339</v>
      </c>
      <c r="O51" s="32">
        <v>24.06</v>
      </c>
      <c r="P51">
        <f t="shared" si="1"/>
        <v>24.06</v>
      </c>
    </row>
    <row r="52" spans="1:16" x14ac:dyDescent="0.3">
      <c r="A52" s="32" t="s">
        <v>411</v>
      </c>
      <c r="B52" s="32" t="s">
        <v>334</v>
      </c>
      <c r="C52" s="32" t="s">
        <v>335</v>
      </c>
      <c r="D52" s="32" t="s">
        <v>377</v>
      </c>
      <c r="E52" s="32">
        <v>9416435713</v>
      </c>
      <c r="F52" s="32" t="s">
        <v>337</v>
      </c>
      <c r="G52" s="32" t="s">
        <v>220</v>
      </c>
      <c r="H52" s="32">
        <v>1477.49</v>
      </c>
      <c r="I52" s="32">
        <v>11</v>
      </c>
      <c r="J52" s="32">
        <v>2428.98</v>
      </c>
      <c r="K52" s="32" t="s">
        <v>208</v>
      </c>
      <c r="L52" s="32" t="str">
        <f t="shared" si="0"/>
        <v>Medium</v>
      </c>
      <c r="M52" s="32">
        <v>16252.39</v>
      </c>
      <c r="N52" s="33" t="s">
        <v>339</v>
      </c>
      <c r="O52" s="32">
        <v>14.95</v>
      </c>
      <c r="P52">
        <f t="shared" si="1"/>
        <v>14.95</v>
      </c>
    </row>
    <row r="53" spans="1:16" x14ac:dyDescent="0.3">
      <c r="A53" s="32" t="s">
        <v>412</v>
      </c>
      <c r="B53" s="32" t="s">
        <v>356</v>
      </c>
      <c r="C53" s="32" t="s">
        <v>335</v>
      </c>
      <c r="D53" s="32" t="s">
        <v>365</v>
      </c>
      <c r="E53" s="32">
        <v>9211381294</v>
      </c>
      <c r="F53" s="32" t="s">
        <v>341</v>
      </c>
      <c r="G53" s="32" t="s">
        <v>359</v>
      </c>
      <c r="H53" s="32">
        <v>704.64</v>
      </c>
      <c r="I53" s="32">
        <v>2</v>
      </c>
      <c r="J53" s="32">
        <v>163.57</v>
      </c>
      <c r="K53" s="32" t="s">
        <v>224</v>
      </c>
      <c r="L53" s="32" t="str">
        <f t="shared" si="0"/>
        <v>Low</v>
      </c>
      <c r="M53" s="32">
        <v>1409.28</v>
      </c>
      <c r="N53" s="33" t="s">
        <v>348</v>
      </c>
      <c r="O53" s="32">
        <v>11.61</v>
      </c>
      <c r="P53">
        <f t="shared" si="1"/>
        <v>11.61</v>
      </c>
    </row>
    <row r="54" spans="1:16" x14ac:dyDescent="0.3">
      <c r="A54" s="32" t="s">
        <v>413</v>
      </c>
      <c r="B54" s="32" t="s">
        <v>368</v>
      </c>
      <c r="C54" s="32" t="s">
        <v>335</v>
      </c>
      <c r="D54" s="32" t="s">
        <v>346</v>
      </c>
      <c r="E54" s="32">
        <v>9791244114</v>
      </c>
      <c r="F54" s="32" t="s">
        <v>341</v>
      </c>
      <c r="G54" s="32" t="s">
        <v>390</v>
      </c>
      <c r="H54" s="32">
        <v>2030.2</v>
      </c>
      <c r="I54" s="32">
        <v>13</v>
      </c>
      <c r="J54" s="32">
        <v>3695.03</v>
      </c>
      <c r="K54" s="32" t="s">
        <v>343</v>
      </c>
      <c r="L54" s="32" t="str">
        <f t="shared" si="0"/>
        <v>High</v>
      </c>
      <c r="M54" s="32">
        <v>26392.6</v>
      </c>
      <c r="N54" s="33" t="s">
        <v>339</v>
      </c>
      <c r="O54" s="32">
        <v>14</v>
      </c>
      <c r="P54">
        <f t="shared" si="1"/>
        <v>14</v>
      </c>
    </row>
    <row r="55" spans="1:16" x14ac:dyDescent="0.3">
      <c r="A55" s="32" t="s">
        <v>414</v>
      </c>
      <c r="B55" s="32" t="s">
        <v>334</v>
      </c>
      <c r="C55" s="32" t="s">
        <v>335</v>
      </c>
      <c r="D55" s="32" t="s">
        <v>365</v>
      </c>
      <c r="E55" s="32">
        <v>9194670146</v>
      </c>
      <c r="F55" s="32" t="s">
        <v>337</v>
      </c>
      <c r="G55" s="32" t="s">
        <v>338</v>
      </c>
      <c r="H55" s="32">
        <v>1822.28</v>
      </c>
      <c r="I55" s="32">
        <v>4</v>
      </c>
      <c r="J55" s="32">
        <v>1973.2</v>
      </c>
      <c r="K55" s="32" t="s">
        <v>351</v>
      </c>
      <c r="L55" s="32" t="str">
        <f t="shared" si="0"/>
        <v>Low</v>
      </c>
      <c r="M55" s="32">
        <v>7289.12</v>
      </c>
      <c r="N55" s="33" t="s">
        <v>352</v>
      </c>
      <c r="O55" s="32">
        <v>27.07</v>
      </c>
      <c r="P55">
        <f t="shared" si="1"/>
        <v>27.07</v>
      </c>
    </row>
    <row r="56" spans="1:16" x14ac:dyDescent="0.3">
      <c r="A56" s="32" t="s">
        <v>415</v>
      </c>
      <c r="B56" s="32" t="s">
        <v>368</v>
      </c>
      <c r="C56" s="32" t="s">
        <v>335</v>
      </c>
      <c r="D56" s="32" t="s">
        <v>361</v>
      </c>
      <c r="E56" s="32">
        <v>9519275644</v>
      </c>
      <c r="F56" s="32" t="s">
        <v>341</v>
      </c>
      <c r="G56" s="32" t="s">
        <v>350</v>
      </c>
      <c r="H56" s="32">
        <v>600.17999999999995</v>
      </c>
      <c r="I56" s="32">
        <v>11</v>
      </c>
      <c r="J56" s="32">
        <v>1525.57</v>
      </c>
      <c r="K56" s="32" t="s">
        <v>208</v>
      </c>
      <c r="L56" s="32" t="str">
        <f t="shared" si="0"/>
        <v>Low</v>
      </c>
      <c r="M56" s="32">
        <v>6601.98</v>
      </c>
      <c r="N56" s="33" t="s">
        <v>352</v>
      </c>
      <c r="O56" s="32">
        <v>23.11</v>
      </c>
      <c r="P56">
        <f t="shared" si="1"/>
        <v>23.11</v>
      </c>
    </row>
    <row r="57" spans="1:16" x14ac:dyDescent="0.3">
      <c r="A57" s="32" t="s">
        <v>416</v>
      </c>
      <c r="B57" s="32" t="s">
        <v>345</v>
      </c>
      <c r="C57" s="32" t="s">
        <v>335</v>
      </c>
      <c r="D57" s="32" t="s">
        <v>361</v>
      </c>
      <c r="E57" s="32">
        <v>9520013561</v>
      </c>
      <c r="F57" s="32" t="s">
        <v>337</v>
      </c>
      <c r="G57" s="32" t="s">
        <v>347</v>
      </c>
      <c r="H57" s="32">
        <v>2330.36</v>
      </c>
      <c r="I57" s="32">
        <v>7</v>
      </c>
      <c r="J57" s="32">
        <v>3532.26</v>
      </c>
      <c r="K57" s="32" t="s">
        <v>375</v>
      </c>
      <c r="L57" s="32" t="str">
        <f t="shared" si="0"/>
        <v>Medium</v>
      </c>
      <c r="M57" s="32">
        <v>16312.52</v>
      </c>
      <c r="N57" s="33" t="s">
        <v>339</v>
      </c>
      <c r="O57" s="32">
        <v>21.65</v>
      </c>
      <c r="P57">
        <f t="shared" si="1"/>
        <v>21.65</v>
      </c>
    </row>
    <row r="58" spans="1:16" x14ac:dyDescent="0.3">
      <c r="A58" s="32" t="s">
        <v>417</v>
      </c>
      <c r="B58" s="32" t="s">
        <v>368</v>
      </c>
      <c r="C58" s="32" t="s">
        <v>335</v>
      </c>
      <c r="D58" s="32" t="s">
        <v>363</v>
      </c>
      <c r="E58" s="35">
        <v>95989895092</v>
      </c>
      <c r="F58" s="32" t="s">
        <v>206</v>
      </c>
      <c r="G58" s="32" t="s">
        <v>236</v>
      </c>
      <c r="H58" s="32">
        <v>1084.67</v>
      </c>
      <c r="I58" s="32">
        <v>13</v>
      </c>
      <c r="J58" s="32">
        <v>4140.1400000000003</v>
      </c>
      <c r="K58" s="32" t="s">
        <v>351</v>
      </c>
      <c r="L58" s="32" t="str">
        <f t="shared" si="0"/>
        <v>Medium</v>
      </c>
      <c r="M58" s="32">
        <v>14100.71</v>
      </c>
      <c r="N58" s="33" t="s">
        <v>339</v>
      </c>
      <c r="O58" s="32">
        <v>29.36</v>
      </c>
      <c r="P58">
        <f t="shared" si="1"/>
        <v>29.36</v>
      </c>
    </row>
    <row r="59" spans="1:16" x14ac:dyDescent="0.3">
      <c r="A59" s="32" t="s">
        <v>418</v>
      </c>
      <c r="B59" s="32" t="s">
        <v>356</v>
      </c>
      <c r="C59" s="32" t="s">
        <v>335</v>
      </c>
      <c r="D59" s="32" t="s">
        <v>377</v>
      </c>
      <c r="E59" s="32">
        <v>9499862542</v>
      </c>
      <c r="F59" s="32" t="s">
        <v>341</v>
      </c>
      <c r="G59" s="32" t="s">
        <v>390</v>
      </c>
      <c r="H59" s="32">
        <v>1893.55</v>
      </c>
      <c r="I59" s="32">
        <v>12</v>
      </c>
      <c r="J59" s="32">
        <v>3204.64</v>
      </c>
      <c r="K59" s="32" t="s">
        <v>343</v>
      </c>
      <c r="L59" s="32" t="str">
        <f t="shared" si="0"/>
        <v>High</v>
      </c>
      <c r="M59" s="32">
        <v>22722.6</v>
      </c>
      <c r="N59" s="33" t="s">
        <v>339</v>
      </c>
      <c r="O59" s="32">
        <v>14.1</v>
      </c>
      <c r="P59">
        <f t="shared" si="1"/>
        <v>14.1</v>
      </c>
    </row>
    <row r="60" spans="1:16" x14ac:dyDescent="0.3">
      <c r="A60" s="32" t="s">
        <v>419</v>
      </c>
      <c r="B60" s="32" t="s">
        <v>368</v>
      </c>
      <c r="C60" s="32" t="s">
        <v>335</v>
      </c>
      <c r="D60" s="32" t="s">
        <v>363</v>
      </c>
      <c r="E60" s="32">
        <v>9724136290</v>
      </c>
      <c r="F60" s="32" t="s">
        <v>341</v>
      </c>
      <c r="G60" s="32" t="s">
        <v>359</v>
      </c>
      <c r="H60" s="32">
        <v>1747.22</v>
      </c>
      <c r="I60" s="32">
        <v>6</v>
      </c>
      <c r="J60" s="32">
        <v>2678.22</v>
      </c>
      <c r="K60" s="32" t="s">
        <v>351</v>
      </c>
      <c r="L60" s="32" t="str">
        <f t="shared" si="0"/>
        <v>Medium</v>
      </c>
      <c r="M60" s="32">
        <v>10483.32</v>
      </c>
      <c r="N60" s="33" t="s">
        <v>339</v>
      </c>
      <c r="O60" s="32">
        <v>25.55</v>
      </c>
      <c r="P60">
        <f t="shared" si="1"/>
        <v>25.55</v>
      </c>
    </row>
    <row r="61" spans="1:16" x14ac:dyDescent="0.3">
      <c r="A61" s="32" t="s">
        <v>420</v>
      </c>
      <c r="B61" s="32" t="s">
        <v>356</v>
      </c>
      <c r="C61" s="32" t="s">
        <v>335</v>
      </c>
      <c r="D61" s="32" t="s">
        <v>363</v>
      </c>
      <c r="E61" s="32">
        <v>9321909198</v>
      </c>
      <c r="F61" s="32" t="s">
        <v>341</v>
      </c>
      <c r="G61" s="32" t="s">
        <v>268</v>
      </c>
      <c r="H61" s="32">
        <v>287.31</v>
      </c>
      <c r="I61" s="32">
        <v>8</v>
      </c>
      <c r="J61" s="32">
        <v>381.56</v>
      </c>
      <c r="K61" s="32" t="s">
        <v>375</v>
      </c>
      <c r="L61" s="32" t="str">
        <f t="shared" si="0"/>
        <v>Low</v>
      </c>
      <c r="M61" s="32">
        <v>2298.48</v>
      </c>
      <c r="N61" s="33" t="s">
        <v>348</v>
      </c>
      <c r="O61" s="32">
        <v>16.600000000000001</v>
      </c>
      <c r="P61">
        <f t="shared" si="1"/>
        <v>16.600000000000001</v>
      </c>
    </row>
    <row r="62" spans="1:16" x14ac:dyDescent="0.3">
      <c r="A62" s="32" t="s">
        <v>421</v>
      </c>
      <c r="B62" s="32" t="s">
        <v>368</v>
      </c>
      <c r="C62" s="32" t="s">
        <v>335</v>
      </c>
      <c r="D62" s="32" t="s">
        <v>361</v>
      </c>
      <c r="E62" s="32">
        <v>9760693305</v>
      </c>
      <c r="F62" s="32" t="s">
        <v>337</v>
      </c>
      <c r="G62" s="32" t="s">
        <v>338</v>
      </c>
      <c r="H62" s="32">
        <v>1700.05</v>
      </c>
      <c r="I62" s="32">
        <v>2</v>
      </c>
      <c r="J62" s="32">
        <v>383.92</v>
      </c>
      <c r="K62" s="32" t="s">
        <v>224</v>
      </c>
      <c r="L62" s="32" t="str">
        <f t="shared" si="0"/>
        <v>Low</v>
      </c>
      <c r="M62" s="32">
        <v>3400.1</v>
      </c>
      <c r="N62" s="33" t="s">
        <v>348</v>
      </c>
      <c r="O62" s="32">
        <v>11.29</v>
      </c>
      <c r="P62">
        <f t="shared" si="1"/>
        <v>11.29</v>
      </c>
    </row>
    <row r="63" spans="1:16" x14ac:dyDescent="0.3">
      <c r="A63" s="32" t="s">
        <v>422</v>
      </c>
      <c r="B63" s="32" t="s">
        <v>356</v>
      </c>
      <c r="C63" s="32" t="s">
        <v>335</v>
      </c>
      <c r="D63" s="32" t="s">
        <v>363</v>
      </c>
      <c r="E63" s="32">
        <v>9658575570</v>
      </c>
      <c r="F63" s="32" t="s">
        <v>341</v>
      </c>
      <c r="G63" s="32" t="s">
        <v>268</v>
      </c>
      <c r="H63" s="32">
        <v>1180.31</v>
      </c>
      <c r="I63" s="32">
        <v>7</v>
      </c>
      <c r="J63" s="32">
        <v>847.73</v>
      </c>
      <c r="K63" s="32" t="s">
        <v>224</v>
      </c>
      <c r="L63" s="32" t="str">
        <f t="shared" si="0"/>
        <v>Low</v>
      </c>
      <c r="M63" s="32">
        <v>8262.17</v>
      </c>
      <c r="N63" s="33" t="s">
        <v>352</v>
      </c>
      <c r="O63" s="32">
        <v>10.26</v>
      </c>
      <c r="P63">
        <f t="shared" si="1"/>
        <v>10.26</v>
      </c>
    </row>
    <row r="64" spans="1:16" x14ac:dyDescent="0.3">
      <c r="A64" s="32" t="s">
        <v>423</v>
      </c>
      <c r="B64" s="32" t="s">
        <v>345</v>
      </c>
      <c r="C64" s="32" t="s">
        <v>335</v>
      </c>
      <c r="D64" s="32" t="s">
        <v>363</v>
      </c>
      <c r="E64" s="32">
        <v>9950273824</v>
      </c>
      <c r="F64" s="32" t="s">
        <v>341</v>
      </c>
      <c r="G64" s="32" t="s">
        <v>390</v>
      </c>
      <c r="H64" s="32">
        <v>653.35</v>
      </c>
      <c r="I64" s="32">
        <v>4</v>
      </c>
      <c r="J64" s="32">
        <v>345.46</v>
      </c>
      <c r="K64" s="32" t="s">
        <v>208</v>
      </c>
      <c r="L64" s="32" t="str">
        <f t="shared" si="0"/>
        <v>Low</v>
      </c>
      <c r="M64" s="32">
        <v>2613.4</v>
      </c>
      <c r="N64" s="33" t="s">
        <v>348</v>
      </c>
      <c r="O64" s="32">
        <v>13.22</v>
      </c>
      <c r="P64">
        <f t="shared" si="1"/>
        <v>13.22</v>
      </c>
    </row>
    <row r="65" spans="1:16" x14ac:dyDescent="0.3">
      <c r="A65" s="32" t="s">
        <v>424</v>
      </c>
      <c r="B65" s="32" t="s">
        <v>345</v>
      </c>
      <c r="C65" s="32" t="s">
        <v>335</v>
      </c>
      <c r="D65" s="32" t="s">
        <v>357</v>
      </c>
      <c r="E65" s="32">
        <v>9898816813</v>
      </c>
      <c r="F65" s="32" t="s">
        <v>206</v>
      </c>
      <c r="G65" s="32" t="s">
        <v>223</v>
      </c>
      <c r="H65" s="32">
        <v>1881.74</v>
      </c>
      <c r="I65" s="32">
        <v>4</v>
      </c>
      <c r="J65" s="32">
        <v>1363.83</v>
      </c>
      <c r="K65" s="32" t="s">
        <v>375</v>
      </c>
      <c r="L65" s="32" t="str">
        <f t="shared" si="0"/>
        <v>Low</v>
      </c>
      <c r="M65" s="32">
        <v>7526.96</v>
      </c>
      <c r="N65" s="33" t="s">
        <v>352</v>
      </c>
      <c r="O65" s="32">
        <v>18.12</v>
      </c>
      <c r="P65">
        <f t="shared" si="1"/>
        <v>18.12</v>
      </c>
    </row>
    <row r="66" spans="1:16" x14ac:dyDescent="0.3">
      <c r="A66" s="32" t="s">
        <v>425</v>
      </c>
      <c r="B66" s="32" t="s">
        <v>368</v>
      </c>
      <c r="C66" s="32" t="s">
        <v>335</v>
      </c>
      <c r="D66" s="32" t="s">
        <v>365</v>
      </c>
      <c r="E66" s="32">
        <v>9571594565</v>
      </c>
      <c r="F66" s="32" t="s">
        <v>341</v>
      </c>
      <c r="G66" s="32" t="s">
        <v>342</v>
      </c>
      <c r="H66" s="32">
        <v>1206.3499999999999</v>
      </c>
      <c r="I66" s="32">
        <v>15</v>
      </c>
      <c r="J66" s="32">
        <v>2801.82</v>
      </c>
      <c r="K66" s="32" t="s">
        <v>224</v>
      </c>
      <c r="L66" s="32" t="str">
        <f t="shared" si="0"/>
        <v>Medium</v>
      </c>
      <c r="M66" s="32">
        <v>18095.25</v>
      </c>
      <c r="N66" s="33" t="s">
        <v>339</v>
      </c>
      <c r="O66" s="32">
        <v>15.48</v>
      </c>
      <c r="P66">
        <f t="shared" si="1"/>
        <v>15.48</v>
      </c>
    </row>
    <row r="67" spans="1:16" x14ac:dyDescent="0.3">
      <c r="A67" s="32" t="s">
        <v>426</v>
      </c>
      <c r="B67" s="32" t="s">
        <v>345</v>
      </c>
      <c r="C67" s="32" t="s">
        <v>335</v>
      </c>
      <c r="D67" s="32" t="s">
        <v>361</v>
      </c>
      <c r="E67" s="32">
        <v>9684352160</v>
      </c>
      <c r="F67" s="32" t="s">
        <v>337</v>
      </c>
      <c r="G67" s="32" t="s">
        <v>374</v>
      </c>
      <c r="H67" s="32">
        <v>1849.95</v>
      </c>
      <c r="I67" s="32">
        <v>5</v>
      </c>
      <c r="J67" s="32">
        <v>2111.02</v>
      </c>
      <c r="K67" s="32" t="s">
        <v>375</v>
      </c>
      <c r="L67" s="32" t="str">
        <f t="shared" ref="L67:L101" si="2">IF(M67&gt;20000,"High",IF(M67&gt;10000,"Medium","Low"))</f>
        <v>Low</v>
      </c>
      <c r="M67" s="32">
        <v>9249.75</v>
      </c>
      <c r="N67" s="33" t="s">
        <v>352</v>
      </c>
      <c r="O67" s="32">
        <v>22.82</v>
      </c>
      <c r="P67">
        <f t="shared" ref="P67:P101" si="3">ROUND((J67/M67)*100,2)</f>
        <v>22.82</v>
      </c>
    </row>
    <row r="68" spans="1:16" x14ac:dyDescent="0.3">
      <c r="A68" s="32" t="s">
        <v>427</v>
      </c>
      <c r="B68" s="32" t="s">
        <v>334</v>
      </c>
      <c r="C68" s="32" t="s">
        <v>335</v>
      </c>
      <c r="D68" s="32" t="s">
        <v>346</v>
      </c>
      <c r="E68" s="32">
        <v>9845713875</v>
      </c>
      <c r="F68" s="32" t="s">
        <v>206</v>
      </c>
      <c r="G68" s="32" t="s">
        <v>264</v>
      </c>
      <c r="H68" s="32">
        <v>1896.1</v>
      </c>
      <c r="I68" s="32">
        <v>5</v>
      </c>
      <c r="J68" s="32">
        <v>2676.46</v>
      </c>
      <c r="K68" s="32" t="s">
        <v>375</v>
      </c>
      <c r="L68" s="32" t="str">
        <f t="shared" si="2"/>
        <v>Low</v>
      </c>
      <c r="M68" s="32">
        <v>9480.5</v>
      </c>
      <c r="N68" s="33" t="s">
        <v>352</v>
      </c>
      <c r="O68" s="32">
        <v>28.23</v>
      </c>
      <c r="P68">
        <f t="shared" si="3"/>
        <v>28.23</v>
      </c>
    </row>
    <row r="69" spans="1:16" x14ac:dyDescent="0.3">
      <c r="A69" s="32" t="s">
        <v>428</v>
      </c>
      <c r="B69" s="32" t="s">
        <v>345</v>
      </c>
      <c r="C69" s="32" t="s">
        <v>335</v>
      </c>
      <c r="D69" s="32" t="s">
        <v>357</v>
      </c>
      <c r="E69" s="35">
        <v>85</v>
      </c>
      <c r="F69" s="32" t="s">
        <v>341</v>
      </c>
      <c r="G69" s="32" t="s">
        <v>268</v>
      </c>
      <c r="H69" s="32">
        <v>1799.6</v>
      </c>
      <c r="I69" s="32">
        <v>6</v>
      </c>
      <c r="J69" s="32">
        <v>1551.79</v>
      </c>
      <c r="K69" s="32" t="s">
        <v>351</v>
      </c>
      <c r="L69" s="32" t="str">
        <f t="shared" si="2"/>
        <v>Medium</v>
      </c>
      <c r="M69" s="32">
        <v>10797.6</v>
      </c>
      <c r="N69" s="33" t="s">
        <v>339</v>
      </c>
      <c r="O69" s="32">
        <v>14.37</v>
      </c>
      <c r="P69">
        <f t="shared" si="3"/>
        <v>14.37</v>
      </c>
    </row>
    <row r="70" spans="1:16" x14ac:dyDescent="0.3">
      <c r="A70" s="32" t="s">
        <v>429</v>
      </c>
      <c r="B70" s="32" t="s">
        <v>368</v>
      </c>
      <c r="C70" s="32" t="s">
        <v>335</v>
      </c>
      <c r="D70" s="32" t="s">
        <v>336</v>
      </c>
      <c r="E70" s="32">
        <v>9304184751</v>
      </c>
      <c r="F70" s="32" t="s">
        <v>341</v>
      </c>
      <c r="G70" s="32" t="s">
        <v>390</v>
      </c>
      <c r="H70" s="32">
        <v>1330.26</v>
      </c>
      <c r="I70" s="32">
        <v>2</v>
      </c>
      <c r="J70" s="32">
        <v>669.54</v>
      </c>
      <c r="K70" s="32" t="s">
        <v>208</v>
      </c>
      <c r="L70" s="32" t="str">
        <f t="shared" si="2"/>
        <v>Low</v>
      </c>
      <c r="M70" s="32">
        <v>2660.52</v>
      </c>
      <c r="N70" s="33" t="s">
        <v>348</v>
      </c>
      <c r="O70" s="32">
        <v>25.17</v>
      </c>
      <c r="P70">
        <f t="shared" si="3"/>
        <v>25.17</v>
      </c>
    </row>
    <row r="71" spans="1:16" x14ac:dyDescent="0.3">
      <c r="A71" s="32" t="s">
        <v>430</v>
      </c>
      <c r="B71" s="32" t="s">
        <v>368</v>
      </c>
      <c r="C71" s="32" t="s">
        <v>335</v>
      </c>
      <c r="D71" s="32" t="s">
        <v>365</v>
      </c>
      <c r="E71" s="32">
        <v>9141039856</v>
      </c>
      <c r="F71" s="32" t="s">
        <v>206</v>
      </c>
      <c r="G71" s="32" t="s">
        <v>230</v>
      </c>
      <c r="H71" s="32">
        <v>322.57</v>
      </c>
      <c r="I71" s="32">
        <v>13</v>
      </c>
      <c r="J71" s="32">
        <v>684.45</v>
      </c>
      <c r="K71" s="32" t="s">
        <v>375</v>
      </c>
      <c r="L71" s="32" t="str">
        <f t="shared" si="2"/>
        <v>Low</v>
      </c>
      <c r="M71" s="32">
        <v>4193.41</v>
      </c>
      <c r="N71" s="33" t="s">
        <v>348</v>
      </c>
      <c r="O71" s="32">
        <v>16.32</v>
      </c>
      <c r="P71">
        <f t="shared" si="3"/>
        <v>16.32</v>
      </c>
    </row>
    <row r="72" spans="1:16" x14ac:dyDescent="0.3">
      <c r="A72" s="32" t="s">
        <v>431</v>
      </c>
      <c r="B72" s="32" t="s">
        <v>356</v>
      </c>
      <c r="C72" s="32" t="s">
        <v>335</v>
      </c>
      <c r="D72" s="32" t="s">
        <v>357</v>
      </c>
      <c r="E72" s="32">
        <v>9640589740</v>
      </c>
      <c r="F72" s="32" t="s">
        <v>206</v>
      </c>
      <c r="G72" s="32" t="s">
        <v>264</v>
      </c>
      <c r="H72" s="32">
        <v>1510.41</v>
      </c>
      <c r="I72" s="32">
        <v>1</v>
      </c>
      <c r="J72" s="32">
        <v>434.79</v>
      </c>
      <c r="K72" s="32" t="s">
        <v>343</v>
      </c>
      <c r="L72" s="32" t="str">
        <f t="shared" si="2"/>
        <v>Low</v>
      </c>
      <c r="M72" s="32">
        <v>1510.41</v>
      </c>
      <c r="N72" s="33" t="s">
        <v>348</v>
      </c>
      <c r="O72" s="32">
        <v>28.79</v>
      </c>
      <c r="P72">
        <f t="shared" si="3"/>
        <v>28.79</v>
      </c>
    </row>
    <row r="73" spans="1:16" x14ac:dyDescent="0.3">
      <c r="A73" s="32" t="s">
        <v>432</v>
      </c>
      <c r="B73" s="32" t="s">
        <v>345</v>
      </c>
      <c r="C73" s="32" t="s">
        <v>335</v>
      </c>
      <c r="D73" s="32" t="s">
        <v>336</v>
      </c>
      <c r="E73" s="32">
        <v>9406517796</v>
      </c>
      <c r="F73" s="32" t="s">
        <v>337</v>
      </c>
      <c r="G73" s="32" t="s">
        <v>228</v>
      </c>
      <c r="H73" s="32">
        <v>1085.52</v>
      </c>
      <c r="I73" s="32">
        <v>4</v>
      </c>
      <c r="J73" s="32">
        <v>749.57</v>
      </c>
      <c r="K73" s="32" t="s">
        <v>208</v>
      </c>
      <c r="L73" s="32" t="str">
        <f t="shared" si="2"/>
        <v>Low</v>
      </c>
      <c r="M73" s="32">
        <v>4342.08</v>
      </c>
      <c r="N73" s="33" t="s">
        <v>348</v>
      </c>
      <c r="O73" s="32">
        <v>17.260000000000002</v>
      </c>
      <c r="P73">
        <f t="shared" si="3"/>
        <v>17.260000000000002</v>
      </c>
    </row>
    <row r="74" spans="1:16" x14ac:dyDescent="0.3">
      <c r="A74" s="32" t="s">
        <v>433</v>
      </c>
      <c r="B74" s="32" t="s">
        <v>345</v>
      </c>
      <c r="C74" s="32" t="s">
        <v>335</v>
      </c>
      <c r="D74" s="32" t="s">
        <v>361</v>
      </c>
      <c r="E74" s="32">
        <v>9606169051</v>
      </c>
      <c r="F74" s="32" t="s">
        <v>341</v>
      </c>
      <c r="G74" s="32" t="s">
        <v>342</v>
      </c>
      <c r="H74" s="32">
        <v>1441.79</v>
      </c>
      <c r="I74" s="32">
        <v>14</v>
      </c>
      <c r="J74" s="32">
        <v>3929.03</v>
      </c>
      <c r="K74" s="32" t="s">
        <v>375</v>
      </c>
      <c r="L74" s="32" t="str">
        <f t="shared" si="2"/>
        <v>High</v>
      </c>
      <c r="M74" s="32">
        <v>20185.060000000001</v>
      </c>
      <c r="N74" s="33" t="s">
        <v>339</v>
      </c>
      <c r="O74" s="32">
        <v>19.47</v>
      </c>
      <c r="P74">
        <f t="shared" si="3"/>
        <v>19.47</v>
      </c>
    </row>
    <row r="75" spans="1:16" x14ac:dyDescent="0.3">
      <c r="A75" s="32" t="s">
        <v>434</v>
      </c>
      <c r="B75" s="32" t="s">
        <v>368</v>
      </c>
      <c r="C75" s="32" t="s">
        <v>335</v>
      </c>
      <c r="D75" s="32" t="s">
        <v>365</v>
      </c>
      <c r="E75" s="32">
        <v>9350461925</v>
      </c>
      <c r="F75" s="32" t="s">
        <v>341</v>
      </c>
      <c r="G75" s="32" t="s">
        <v>390</v>
      </c>
      <c r="H75" s="32">
        <v>686.64</v>
      </c>
      <c r="I75" s="32">
        <v>8</v>
      </c>
      <c r="J75" s="32">
        <v>878.07</v>
      </c>
      <c r="K75" s="32" t="s">
        <v>208</v>
      </c>
      <c r="L75" s="32" t="str">
        <f t="shared" si="2"/>
        <v>Low</v>
      </c>
      <c r="M75" s="32">
        <v>5493.12</v>
      </c>
      <c r="N75" s="33" t="s">
        <v>352</v>
      </c>
      <c r="O75" s="32">
        <v>15.98</v>
      </c>
      <c r="P75">
        <f t="shared" si="3"/>
        <v>15.98</v>
      </c>
    </row>
    <row r="76" spans="1:16" x14ac:dyDescent="0.3">
      <c r="A76" s="32" t="s">
        <v>435</v>
      </c>
      <c r="B76" s="32" t="s">
        <v>334</v>
      </c>
      <c r="C76" s="32" t="s">
        <v>335</v>
      </c>
      <c r="D76" s="32" t="s">
        <v>346</v>
      </c>
      <c r="E76" s="32">
        <v>9996467468</v>
      </c>
      <c r="F76" s="32" t="s">
        <v>337</v>
      </c>
      <c r="G76" s="32" t="s">
        <v>228</v>
      </c>
      <c r="H76" s="32">
        <v>2830.64</v>
      </c>
      <c r="I76" s="32">
        <v>6</v>
      </c>
      <c r="J76" s="32">
        <v>1830.75</v>
      </c>
      <c r="K76" s="32" t="s">
        <v>208</v>
      </c>
      <c r="L76" s="32" t="str">
        <f t="shared" si="2"/>
        <v>Medium</v>
      </c>
      <c r="M76" s="32">
        <v>16983.84</v>
      </c>
      <c r="N76" s="33" t="s">
        <v>339</v>
      </c>
      <c r="O76" s="32">
        <v>10.78</v>
      </c>
      <c r="P76">
        <f t="shared" si="3"/>
        <v>10.78</v>
      </c>
    </row>
    <row r="77" spans="1:16" x14ac:dyDescent="0.3">
      <c r="A77" s="32" t="s">
        <v>436</v>
      </c>
      <c r="B77" s="32" t="s">
        <v>334</v>
      </c>
      <c r="C77" s="32" t="s">
        <v>335</v>
      </c>
      <c r="D77" s="32" t="s">
        <v>365</v>
      </c>
      <c r="E77" s="32">
        <v>9128345710</v>
      </c>
      <c r="F77" s="32" t="s">
        <v>206</v>
      </c>
      <c r="G77" s="32" t="s">
        <v>236</v>
      </c>
      <c r="H77" s="32">
        <v>2619.08</v>
      </c>
      <c r="I77" s="32">
        <v>6</v>
      </c>
      <c r="J77" s="32">
        <v>4245.2299999999996</v>
      </c>
      <c r="K77" s="32" t="s">
        <v>343</v>
      </c>
      <c r="L77" s="32" t="str">
        <f t="shared" si="2"/>
        <v>Medium</v>
      </c>
      <c r="M77" s="32">
        <v>15714.48</v>
      </c>
      <c r="N77" s="33" t="s">
        <v>339</v>
      </c>
      <c r="O77" s="32">
        <v>27.01</v>
      </c>
      <c r="P77">
        <f t="shared" si="3"/>
        <v>27.01</v>
      </c>
    </row>
    <row r="78" spans="1:16" x14ac:dyDescent="0.3">
      <c r="A78" s="32" t="s">
        <v>437</v>
      </c>
      <c r="B78" s="32" t="s">
        <v>356</v>
      </c>
      <c r="C78" s="32" t="s">
        <v>335</v>
      </c>
      <c r="D78" s="32" t="s">
        <v>363</v>
      </c>
      <c r="E78" s="32">
        <v>9392055351</v>
      </c>
      <c r="F78" s="32" t="s">
        <v>337</v>
      </c>
      <c r="G78" s="32" t="s">
        <v>220</v>
      </c>
      <c r="H78" s="32">
        <v>503.93</v>
      </c>
      <c r="I78" s="32">
        <v>11</v>
      </c>
      <c r="J78" s="32">
        <v>1183.48</v>
      </c>
      <c r="K78" s="32" t="s">
        <v>351</v>
      </c>
      <c r="L78" s="32" t="str">
        <f t="shared" si="2"/>
        <v>Low</v>
      </c>
      <c r="M78" s="32">
        <v>5543.23</v>
      </c>
      <c r="N78" s="33" t="s">
        <v>352</v>
      </c>
      <c r="O78" s="32">
        <v>21.35</v>
      </c>
      <c r="P78">
        <f t="shared" si="3"/>
        <v>21.35</v>
      </c>
    </row>
    <row r="79" spans="1:16" x14ac:dyDescent="0.3">
      <c r="A79" s="32" t="s">
        <v>438</v>
      </c>
      <c r="B79" s="32" t="s">
        <v>345</v>
      </c>
      <c r="C79" s="32" t="s">
        <v>335</v>
      </c>
      <c r="D79" s="32" t="s">
        <v>357</v>
      </c>
      <c r="E79" s="32">
        <v>9980141994</v>
      </c>
      <c r="F79" s="32" t="s">
        <v>341</v>
      </c>
      <c r="G79" s="32" t="s">
        <v>268</v>
      </c>
      <c r="H79" s="32">
        <v>467.71</v>
      </c>
      <c r="I79" s="32">
        <v>12</v>
      </c>
      <c r="J79" s="32">
        <v>1223.23</v>
      </c>
      <c r="K79" s="32" t="s">
        <v>208</v>
      </c>
      <c r="L79" s="32" t="str">
        <f t="shared" si="2"/>
        <v>Low</v>
      </c>
      <c r="M79" s="32">
        <v>5612.52</v>
      </c>
      <c r="N79" s="33" t="s">
        <v>352</v>
      </c>
      <c r="O79" s="32">
        <v>21.79</v>
      </c>
      <c r="P79">
        <f t="shared" si="3"/>
        <v>21.79</v>
      </c>
    </row>
    <row r="80" spans="1:16" x14ac:dyDescent="0.3">
      <c r="A80" s="32" t="s">
        <v>439</v>
      </c>
      <c r="B80" s="32" t="s">
        <v>334</v>
      </c>
      <c r="C80" s="32" t="s">
        <v>335</v>
      </c>
      <c r="D80" s="32" t="s">
        <v>361</v>
      </c>
      <c r="E80" s="32">
        <v>9403999543</v>
      </c>
      <c r="F80" s="32" t="s">
        <v>341</v>
      </c>
      <c r="G80" s="32" t="s">
        <v>359</v>
      </c>
      <c r="H80" s="32">
        <v>2307.34</v>
      </c>
      <c r="I80" s="32">
        <v>14</v>
      </c>
      <c r="J80" s="32">
        <v>3571.15</v>
      </c>
      <c r="K80" s="32" t="s">
        <v>375</v>
      </c>
      <c r="L80" s="32" t="str">
        <f t="shared" si="2"/>
        <v>High</v>
      </c>
      <c r="M80" s="32">
        <v>32302.76</v>
      </c>
      <c r="N80" s="33" t="s">
        <v>339</v>
      </c>
      <c r="O80" s="32">
        <v>11.06</v>
      </c>
      <c r="P80">
        <f t="shared" si="3"/>
        <v>11.06</v>
      </c>
    </row>
    <row r="81" spans="1:16" x14ac:dyDescent="0.3">
      <c r="A81" s="32" t="s">
        <v>440</v>
      </c>
      <c r="B81" s="32" t="s">
        <v>368</v>
      </c>
      <c r="C81" s="32" t="s">
        <v>335</v>
      </c>
      <c r="D81" s="32" t="s">
        <v>377</v>
      </c>
      <c r="E81" s="32">
        <v>9164427200</v>
      </c>
      <c r="F81" s="32" t="s">
        <v>206</v>
      </c>
      <c r="G81" s="32" t="s">
        <v>264</v>
      </c>
      <c r="H81" s="32">
        <v>1513.57</v>
      </c>
      <c r="I81" s="32">
        <v>14</v>
      </c>
      <c r="J81" s="34">
        <v>5761.18</v>
      </c>
      <c r="K81" s="32" t="s">
        <v>208</v>
      </c>
      <c r="L81" s="32" t="str">
        <f t="shared" si="2"/>
        <v>High</v>
      </c>
      <c r="M81" s="32">
        <v>21189.98</v>
      </c>
      <c r="N81" s="33" t="s">
        <v>339</v>
      </c>
      <c r="O81" s="32">
        <v>27.19</v>
      </c>
      <c r="P81">
        <f t="shared" si="3"/>
        <v>27.19</v>
      </c>
    </row>
    <row r="82" spans="1:16" x14ac:dyDescent="0.3">
      <c r="A82" s="32" t="s">
        <v>441</v>
      </c>
      <c r="B82" s="32" t="s">
        <v>368</v>
      </c>
      <c r="C82" s="32" t="s">
        <v>335</v>
      </c>
      <c r="D82" s="32" t="s">
        <v>361</v>
      </c>
      <c r="E82" s="35">
        <v>858947</v>
      </c>
      <c r="F82" s="32" t="s">
        <v>341</v>
      </c>
      <c r="G82" s="32" t="s">
        <v>390</v>
      </c>
      <c r="H82" s="32">
        <v>2213.4499999999998</v>
      </c>
      <c r="I82" s="32">
        <v>3</v>
      </c>
      <c r="J82" s="32">
        <v>867.33</v>
      </c>
      <c r="K82" s="32" t="s">
        <v>375</v>
      </c>
      <c r="L82" s="32" t="str">
        <f t="shared" si="2"/>
        <v>Low</v>
      </c>
      <c r="M82" s="32">
        <v>6640.35</v>
      </c>
      <c r="N82" s="33" t="s">
        <v>352</v>
      </c>
      <c r="O82" s="32">
        <v>13.06</v>
      </c>
      <c r="P82">
        <f t="shared" si="3"/>
        <v>13.06</v>
      </c>
    </row>
    <row r="83" spans="1:16" x14ac:dyDescent="0.3">
      <c r="A83" s="32" t="s">
        <v>442</v>
      </c>
      <c r="B83" s="32" t="s">
        <v>345</v>
      </c>
      <c r="C83" s="32" t="s">
        <v>335</v>
      </c>
      <c r="D83" s="32" t="s">
        <v>357</v>
      </c>
      <c r="E83" s="32">
        <v>9789825611</v>
      </c>
      <c r="F83" s="32" t="s">
        <v>337</v>
      </c>
      <c r="G83" s="32" t="s">
        <v>228</v>
      </c>
      <c r="H83" s="32">
        <v>384.21</v>
      </c>
      <c r="I83" s="32">
        <v>5</v>
      </c>
      <c r="J83" s="32">
        <v>354.16</v>
      </c>
      <c r="K83" s="32" t="s">
        <v>375</v>
      </c>
      <c r="L83" s="32" t="str">
        <f t="shared" si="2"/>
        <v>Low</v>
      </c>
      <c r="M83" s="32">
        <v>1921.05</v>
      </c>
      <c r="N83" s="33" t="s">
        <v>348</v>
      </c>
      <c r="O83" s="32">
        <v>18.440000000000001</v>
      </c>
      <c r="P83">
        <f t="shared" si="3"/>
        <v>18.440000000000001</v>
      </c>
    </row>
    <row r="84" spans="1:16" x14ac:dyDescent="0.3">
      <c r="A84" s="32" t="s">
        <v>443</v>
      </c>
      <c r="B84" s="32" t="s">
        <v>356</v>
      </c>
      <c r="C84" s="32" t="s">
        <v>335</v>
      </c>
      <c r="D84" s="32" t="s">
        <v>361</v>
      </c>
      <c r="E84" s="32">
        <v>9371462183</v>
      </c>
      <c r="F84" s="32" t="s">
        <v>206</v>
      </c>
      <c r="G84" s="32" t="s">
        <v>236</v>
      </c>
      <c r="H84" s="32">
        <v>498.41</v>
      </c>
      <c r="I84" s="32">
        <v>7</v>
      </c>
      <c r="J84" s="32">
        <v>435.36</v>
      </c>
      <c r="K84" s="32" t="s">
        <v>224</v>
      </c>
      <c r="L84" s="32" t="str">
        <f t="shared" si="2"/>
        <v>Low</v>
      </c>
      <c r="M84" s="32">
        <v>3488.87</v>
      </c>
      <c r="N84" s="33" t="s">
        <v>348</v>
      </c>
      <c r="O84" s="32">
        <v>12.48</v>
      </c>
      <c r="P84">
        <f t="shared" si="3"/>
        <v>12.48</v>
      </c>
    </row>
    <row r="85" spans="1:16" x14ac:dyDescent="0.3">
      <c r="A85" s="32" t="s">
        <v>444</v>
      </c>
      <c r="B85" s="32" t="s">
        <v>368</v>
      </c>
      <c r="C85" s="32" t="s">
        <v>335</v>
      </c>
      <c r="D85" s="32" t="s">
        <v>361</v>
      </c>
      <c r="E85" s="32">
        <v>9444893207</v>
      </c>
      <c r="F85" s="32" t="s">
        <v>337</v>
      </c>
      <c r="G85" s="32" t="s">
        <v>228</v>
      </c>
      <c r="H85" s="32">
        <v>1599.24</v>
      </c>
      <c r="I85" s="32">
        <v>10</v>
      </c>
      <c r="J85" s="32">
        <v>4368.75</v>
      </c>
      <c r="K85" s="32" t="s">
        <v>224</v>
      </c>
      <c r="L85" s="32" t="str">
        <f t="shared" si="2"/>
        <v>Medium</v>
      </c>
      <c r="M85" s="32">
        <v>15992.4</v>
      </c>
      <c r="N85" s="33" t="s">
        <v>339</v>
      </c>
      <c r="O85" s="32">
        <v>27.32</v>
      </c>
      <c r="P85">
        <f t="shared" si="3"/>
        <v>27.32</v>
      </c>
    </row>
    <row r="86" spans="1:16" x14ac:dyDescent="0.3">
      <c r="A86" s="32" t="s">
        <v>445</v>
      </c>
      <c r="B86" s="32" t="s">
        <v>334</v>
      </c>
      <c r="C86" s="32" t="s">
        <v>335</v>
      </c>
      <c r="D86" s="32" t="s">
        <v>365</v>
      </c>
      <c r="E86" s="32">
        <v>9339358166</v>
      </c>
      <c r="F86" s="32" t="s">
        <v>341</v>
      </c>
      <c r="G86" s="32" t="s">
        <v>350</v>
      </c>
      <c r="H86" s="32">
        <v>962.07</v>
      </c>
      <c r="I86" s="32">
        <v>9</v>
      </c>
      <c r="J86" s="32">
        <v>905.89</v>
      </c>
      <c r="K86" s="32" t="s">
        <v>224</v>
      </c>
      <c r="L86" s="32" t="str">
        <f t="shared" si="2"/>
        <v>Low</v>
      </c>
      <c r="M86" s="32">
        <v>8658.6299999999992</v>
      </c>
      <c r="N86" s="33" t="s">
        <v>352</v>
      </c>
      <c r="O86" s="32">
        <v>10.46</v>
      </c>
      <c r="P86">
        <f t="shared" si="3"/>
        <v>10.46</v>
      </c>
    </row>
    <row r="87" spans="1:16" x14ac:dyDescent="0.3">
      <c r="A87" s="32" t="s">
        <v>446</v>
      </c>
      <c r="B87" s="32" t="s">
        <v>334</v>
      </c>
      <c r="C87" s="32" t="s">
        <v>335</v>
      </c>
      <c r="D87" s="32" t="s">
        <v>346</v>
      </c>
      <c r="E87" s="32">
        <v>9119201960</v>
      </c>
      <c r="F87" s="32" t="s">
        <v>341</v>
      </c>
      <c r="G87" s="32" t="s">
        <v>268</v>
      </c>
      <c r="H87" s="32">
        <v>1673.22</v>
      </c>
      <c r="I87" s="32">
        <v>7</v>
      </c>
      <c r="J87" s="32">
        <v>1935.04</v>
      </c>
      <c r="K87" s="32" t="s">
        <v>375</v>
      </c>
      <c r="L87" s="32" t="str">
        <f t="shared" si="2"/>
        <v>Medium</v>
      </c>
      <c r="M87" s="32">
        <v>11712.54</v>
      </c>
      <c r="N87" s="33" t="s">
        <v>339</v>
      </c>
      <c r="O87" s="32">
        <v>16.52</v>
      </c>
      <c r="P87">
        <f t="shared" si="3"/>
        <v>16.52</v>
      </c>
    </row>
    <row r="88" spans="1:16" x14ac:dyDescent="0.3">
      <c r="A88" s="32" t="s">
        <v>447</v>
      </c>
      <c r="B88" s="32" t="s">
        <v>334</v>
      </c>
      <c r="C88" s="32" t="s">
        <v>335</v>
      </c>
      <c r="D88" s="32" t="s">
        <v>357</v>
      </c>
      <c r="E88" s="32">
        <v>9161700373</v>
      </c>
      <c r="F88" s="32" t="s">
        <v>337</v>
      </c>
      <c r="G88" s="32" t="s">
        <v>347</v>
      </c>
      <c r="H88" s="32">
        <v>791.24</v>
      </c>
      <c r="I88" s="32">
        <v>4</v>
      </c>
      <c r="J88" s="32">
        <v>366.17</v>
      </c>
      <c r="K88" s="32" t="s">
        <v>224</v>
      </c>
      <c r="L88" s="32" t="str">
        <f t="shared" si="2"/>
        <v>Low</v>
      </c>
      <c r="M88" s="32">
        <v>3164.96</v>
      </c>
      <c r="N88" s="33" t="s">
        <v>348</v>
      </c>
      <c r="O88" s="32">
        <v>11.57</v>
      </c>
      <c r="P88">
        <f t="shared" si="3"/>
        <v>11.57</v>
      </c>
    </row>
    <row r="89" spans="1:16" x14ac:dyDescent="0.3">
      <c r="A89" s="32" t="s">
        <v>448</v>
      </c>
      <c r="B89" s="32" t="s">
        <v>345</v>
      </c>
      <c r="C89" s="32" t="s">
        <v>335</v>
      </c>
      <c r="D89" s="32" t="s">
        <v>377</v>
      </c>
      <c r="E89" s="32">
        <v>9242580997</v>
      </c>
      <c r="F89" s="32" t="s">
        <v>337</v>
      </c>
      <c r="G89" s="32" t="s">
        <v>220</v>
      </c>
      <c r="H89" s="32">
        <v>1210.8599999999999</v>
      </c>
      <c r="I89" s="32">
        <v>3</v>
      </c>
      <c r="J89" s="32">
        <v>698.75</v>
      </c>
      <c r="K89" s="32" t="s">
        <v>224</v>
      </c>
      <c r="L89" s="32" t="str">
        <f t="shared" si="2"/>
        <v>Low</v>
      </c>
      <c r="M89" s="32">
        <v>3632.58</v>
      </c>
      <c r="N89" s="33" t="s">
        <v>348</v>
      </c>
      <c r="O89" s="32">
        <v>19.239999999999998</v>
      </c>
      <c r="P89">
        <f t="shared" si="3"/>
        <v>19.239999999999998</v>
      </c>
    </row>
    <row r="90" spans="1:16" x14ac:dyDescent="0.3">
      <c r="A90" s="32" t="s">
        <v>449</v>
      </c>
      <c r="B90" s="32" t="s">
        <v>368</v>
      </c>
      <c r="C90" s="32" t="s">
        <v>335</v>
      </c>
      <c r="D90" s="32" t="s">
        <v>363</v>
      </c>
      <c r="E90" s="32">
        <v>9370714466</v>
      </c>
      <c r="F90" s="32" t="s">
        <v>337</v>
      </c>
      <c r="G90" s="32" t="s">
        <v>347</v>
      </c>
      <c r="H90" s="32">
        <v>619.57000000000005</v>
      </c>
      <c r="I90" s="32">
        <v>7</v>
      </c>
      <c r="J90" s="32">
        <v>562.75</v>
      </c>
      <c r="K90" s="32" t="s">
        <v>224</v>
      </c>
      <c r="L90" s="32" t="str">
        <f t="shared" si="2"/>
        <v>Low</v>
      </c>
      <c r="M90" s="32">
        <v>4336.99</v>
      </c>
      <c r="N90" s="33" t="s">
        <v>348</v>
      </c>
      <c r="O90" s="32">
        <v>12.98</v>
      </c>
      <c r="P90">
        <f t="shared" si="3"/>
        <v>12.98</v>
      </c>
    </row>
    <row r="91" spans="1:16" x14ac:dyDescent="0.3">
      <c r="A91" s="32" t="s">
        <v>450</v>
      </c>
      <c r="B91" s="32" t="s">
        <v>334</v>
      </c>
      <c r="C91" s="32" t="s">
        <v>335</v>
      </c>
      <c r="D91" s="32" t="s">
        <v>361</v>
      </c>
      <c r="E91" s="32">
        <v>9427647839</v>
      </c>
      <c r="F91" s="32" t="s">
        <v>206</v>
      </c>
      <c r="G91" s="32" t="s">
        <v>372</v>
      </c>
      <c r="H91" s="32">
        <v>308.5</v>
      </c>
      <c r="I91" s="32">
        <v>15</v>
      </c>
      <c r="J91" s="32">
        <v>802.96</v>
      </c>
      <c r="K91" s="32" t="s">
        <v>208</v>
      </c>
      <c r="L91" s="32" t="str">
        <f t="shared" si="2"/>
        <v>Low</v>
      </c>
      <c r="M91" s="32">
        <v>4627.5</v>
      </c>
      <c r="N91" s="33" t="s">
        <v>348</v>
      </c>
      <c r="O91" s="32">
        <v>17.350000000000001</v>
      </c>
      <c r="P91">
        <f t="shared" si="3"/>
        <v>17.350000000000001</v>
      </c>
    </row>
    <row r="92" spans="1:16" x14ac:dyDescent="0.3">
      <c r="A92" s="32" t="s">
        <v>451</v>
      </c>
      <c r="B92" s="32" t="s">
        <v>356</v>
      </c>
      <c r="C92" s="32" t="s">
        <v>335</v>
      </c>
      <c r="D92" s="32" t="s">
        <v>361</v>
      </c>
      <c r="E92" s="32">
        <v>9942075195</v>
      </c>
      <c r="F92" s="32" t="s">
        <v>337</v>
      </c>
      <c r="G92" s="32" t="s">
        <v>228</v>
      </c>
      <c r="H92" s="32">
        <v>1853.37</v>
      </c>
      <c r="I92" s="32">
        <v>5</v>
      </c>
      <c r="J92" s="32">
        <v>1661.2</v>
      </c>
      <c r="K92" s="32" t="s">
        <v>208</v>
      </c>
      <c r="L92" s="32" t="str">
        <f t="shared" si="2"/>
        <v>Low</v>
      </c>
      <c r="M92" s="32">
        <v>9266.85</v>
      </c>
      <c r="N92" s="33" t="s">
        <v>352</v>
      </c>
      <c r="O92" s="32">
        <v>17.93</v>
      </c>
      <c r="P92">
        <f t="shared" si="3"/>
        <v>17.93</v>
      </c>
    </row>
    <row r="93" spans="1:16" x14ac:dyDescent="0.3">
      <c r="A93" s="32" t="s">
        <v>452</v>
      </c>
      <c r="B93" s="32" t="s">
        <v>345</v>
      </c>
      <c r="C93" s="32" t="s">
        <v>335</v>
      </c>
      <c r="D93" s="32" t="s">
        <v>365</v>
      </c>
      <c r="E93" s="32">
        <v>9857569233</v>
      </c>
      <c r="F93" s="32" t="s">
        <v>337</v>
      </c>
      <c r="G93" s="32" t="s">
        <v>374</v>
      </c>
      <c r="H93" s="32">
        <v>2501.48</v>
      </c>
      <c r="I93" s="32">
        <v>6</v>
      </c>
      <c r="J93" s="32">
        <v>4142.5200000000004</v>
      </c>
      <c r="K93" s="32" t="s">
        <v>343</v>
      </c>
      <c r="L93" s="32" t="str">
        <f t="shared" si="2"/>
        <v>Medium</v>
      </c>
      <c r="M93" s="32">
        <v>15008.88</v>
      </c>
      <c r="N93" s="33" t="s">
        <v>339</v>
      </c>
      <c r="O93" s="32">
        <v>27.6</v>
      </c>
      <c r="P93">
        <f t="shared" si="3"/>
        <v>27.6</v>
      </c>
    </row>
    <row r="94" spans="1:16" x14ac:dyDescent="0.3">
      <c r="A94" s="32" t="s">
        <v>453</v>
      </c>
      <c r="B94" s="32" t="s">
        <v>345</v>
      </c>
      <c r="C94" s="32" t="s">
        <v>335</v>
      </c>
      <c r="D94" s="32" t="s">
        <v>336</v>
      </c>
      <c r="E94" s="32">
        <v>9944969047</v>
      </c>
      <c r="F94" s="32" t="s">
        <v>206</v>
      </c>
      <c r="G94" s="32" t="s">
        <v>223</v>
      </c>
      <c r="H94" s="32">
        <v>2596.13</v>
      </c>
      <c r="I94" s="32">
        <v>5</v>
      </c>
      <c r="J94" s="32">
        <v>1453.33</v>
      </c>
      <c r="K94" s="32" t="s">
        <v>343</v>
      </c>
      <c r="L94" s="32" t="str">
        <f t="shared" si="2"/>
        <v>Medium</v>
      </c>
      <c r="M94" s="32">
        <v>12980.65</v>
      </c>
      <c r="N94" s="33" t="s">
        <v>339</v>
      </c>
      <c r="O94" s="32">
        <v>11.2</v>
      </c>
      <c r="P94">
        <f t="shared" si="3"/>
        <v>11.2</v>
      </c>
    </row>
    <row r="95" spans="1:16" x14ac:dyDescent="0.3">
      <c r="A95" s="32" t="s">
        <v>454</v>
      </c>
      <c r="B95" s="32" t="s">
        <v>334</v>
      </c>
      <c r="C95" s="32" t="s">
        <v>335</v>
      </c>
      <c r="D95" s="32" t="s">
        <v>346</v>
      </c>
      <c r="E95" s="35">
        <v>56428436</v>
      </c>
      <c r="F95" s="32" t="s">
        <v>206</v>
      </c>
      <c r="G95" s="32" t="s">
        <v>236</v>
      </c>
      <c r="H95" s="32">
        <v>2209.52</v>
      </c>
      <c r="I95" s="32">
        <v>6</v>
      </c>
      <c r="J95" s="32">
        <v>3760.49</v>
      </c>
      <c r="K95" s="32" t="s">
        <v>343</v>
      </c>
      <c r="L95" s="32" t="str">
        <f t="shared" si="2"/>
        <v>Medium</v>
      </c>
      <c r="M95" s="32">
        <v>13257.12</v>
      </c>
      <c r="N95" s="33" t="s">
        <v>339</v>
      </c>
      <c r="O95" s="32">
        <v>28.37</v>
      </c>
      <c r="P95">
        <f t="shared" si="3"/>
        <v>28.37</v>
      </c>
    </row>
    <row r="96" spans="1:16" x14ac:dyDescent="0.3">
      <c r="A96" s="32" t="s">
        <v>455</v>
      </c>
      <c r="B96" s="32" t="s">
        <v>356</v>
      </c>
      <c r="C96" s="32" t="s">
        <v>335</v>
      </c>
      <c r="D96" s="32" t="s">
        <v>363</v>
      </c>
      <c r="E96" s="32">
        <v>9705241364</v>
      </c>
      <c r="F96" s="32" t="s">
        <v>341</v>
      </c>
      <c r="G96" s="32" t="s">
        <v>350</v>
      </c>
      <c r="H96" s="32">
        <v>458.7</v>
      </c>
      <c r="I96" s="32">
        <v>7</v>
      </c>
      <c r="J96" s="32">
        <v>839.97</v>
      </c>
      <c r="K96" s="32" t="s">
        <v>343</v>
      </c>
      <c r="L96" s="32" t="str">
        <f t="shared" si="2"/>
        <v>Low</v>
      </c>
      <c r="M96" s="32">
        <v>3210.9</v>
      </c>
      <c r="N96" s="33" t="s">
        <v>348</v>
      </c>
      <c r="O96" s="32">
        <v>26.16</v>
      </c>
      <c r="P96">
        <f t="shared" si="3"/>
        <v>26.16</v>
      </c>
    </row>
    <row r="97" spans="1:16" x14ac:dyDescent="0.3">
      <c r="A97" s="32" t="s">
        <v>456</v>
      </c>
      <c r="B97" s="32" t="s">
        <v>356</v>
      </c>
      <c r="C97" s="32" t="s">
        <v>335</v>
      </c>
      <c r="D97" s="32" t="s">
        <v>336</v>
      </c>
      <c r="E97" s="32">
        <v>9245776255</v>
      </c>
      <c r="F97" s="32" t="s">
        <v>337</v>
      </c>
      <c r="G97" s="32" t="s">
        <v>220</v>
      </c>
      <c r="H97" s="32">
        <v>833.16</v>
      </c>
      <c r="I97" s="32">
        <v>12</v>
      </c>
      <c r="J97" s="32">
        <v>2135.63</v>
      </c>
      <c r="K97" s="32" t="s">
        <v>343</v>
      </c>
      <c r="L97" s="32" t="str">
        <f t="shared" si="2"/>
        <v>Low</v>
      </c>
      <c r="M97" s="32">
        <v>9997.92</v>
      </c>
      <c r="N97" s="33" t="s">
        <v>352</v>
      </c>
      <c r="O97" s="32">
        <v>21.36</v>
      </c>
      <c r="P97">
        <f t="shared" si="3"/>
        <v>21.36</v>
      </c>
    </row>
    <row r="98" spans="1:16" x14ac:dyDescent="0.3">
      <c r="A98" s="32" t="s">
        <v>457</v>
      </c>
      <c r="B98" s="32" t="s">
        <v>356</v>
      </c>
      <c r="C98" s="32" t="s">
        <v>335</v>
      </c>
      <c r="D98" s="32" t="s">
        <v>377</v>
      </c>
      <c r="E98" s="32">
        <v>9881212856</v>
      </c>
      <c r="F98" s="32" t="s">
        <v>337</v>
      </c>
      <c r="G98" s="32" t="s">
        <v>220</v>
      </c>
      <c r="H98" s="32">
        <v>238.37</v>
      </c>
      <c r="I98" s="32">
        <v>13</v>
      </c>
      <c r="J98" s="32">
        <v>586.94000000000005</v>
      </c>
      <c r="K98" s="32" t="s">
        <v>343</v>
      </c>
      <c r="L98" s="32" t="str">
        <f t="shared" si="2"/>
        <v>Low</v>
      </c>
      <c r="M98" s="32">
        <v>3098.81</v>
      </c>
      <c r="N98" s="33" t="s">
        <v>348</v>
      </c>
      <c r="O98" s="32">
        <v>18.940000000000001</v>
      </c>
      <c r="P98">
        <f t="shared" si="3"/>
        <v>18.940000000000001</v>
      </c>
    </row>
    <row r="99" spans="1:16" x14ac:dyDescent="0.3">
      <c r="A99" s="32" t="s">
        <v>458</v>
      </c>
      <c r="B99" s="32" t="s">
        <v>334</v>
      </c>
      <c r="C99" s="32" t="s">
        <v>335</v>
      </c>
      <c r="D99" s="32" t="s">
        <v>363</v>
      </c>
      <c r="E99" s="32">
        <v>9916091858</v>
      </c>
      <c r="F99" s="32" t="s">
        <v>337</v>
      </c>
      <c r="G99" s="32" t="s">
        <v>228</v>
      </c>
      <c r="H99" s="32">
        <v>820.05</v>
      </c>
      <c r="I99" s="32">
        <v>3</v>
      </c>
      <c r="J99" s="32">
        <v>419.41</v>
      </c>
      <c r="K99" s="32" t="s">
        <v>224</v>
      </c>
      <c r="L99" s="32" t="str">
        <f t="shared" si="2"/>
        <v>Low</v>
      </c>
      <c r="M99" s="32">
        <v>2460.15</v>
      </c>
      <c r="N99" s="33" t="s">
        <v>348</v>
      </c>
      <c r="O99" s="32">
        <v>17.05</v>
      </c>
      <c r="P99">
        <f t="shared" si="3"/>
        <v>17.05</v>
      </c>
    </row>
    <row r="100" spans="1:16" x14ac:dyDescent="0.3">
      <c r="A100" s="32" t="s">
        <v>459</v>
      </c>
      <c r="B100" s="32" t="s">
        <v>368</v>
      </c>
      <c r="C100" s="32" t="s">
        <v>335</v>
      </c>
      <c r="D100" s="32" t="s">
        <v>336</v>
      </c>
      <c r="E100" s="32">
        <v>9425191872</v>
      </c>
      <c r="F100" s="32" t="s">
        <v>206</v>
      </c>
      <c r="G100" s="32" t="s">
        <v>236</v>
      </c>
      <c r="H100" s="32">
        <v>2716.33</v>
      </c>
      <c r="I100" s="32">
        <v>8</v>
      </c>
      <c r="J100" s="34">
        <v>5513.14</v>
      </c>
      <c r="K100" s="32" t="s">
        <v>343</v>
      </c>
      <c r="L100" s="32" t="str">
        <f t="shared" si="2"/>
        <v>High</v>
      </c>
      <c r="M100" s="32">
        <v>21730.639999999999</v>
      </c>
      <c r="N100" s="33" t="s">
        <v>339</v>
      </c>
      <c r="O100" s="32">
        <v>25.37</v>
      </c>
      <c r="P100">
        <f t="shared" si="3"/>
        <v>25.37</v>
      </c>
    </row>
    <row r="101" spans="1:16" x14ac:dyDescent="0.3">
      <c r="A101" s="32" t="s">
        <v>460</v>
      </c>
      <c r="B101" s="32" t="s">
        <v>368</v>
      </c>
      <c r="C101" s="32" t="s">
        <v>335</v>
      </c>
      <c r="D101" s="32" t="s">
        <v>377</v>
      </c>
      <c r="E101" s="32">
        <v>9459337548</v>
      </c>
      <c r="F101" s="32" t="s">
        <v>337</v>
      </c>
      <c r="G101" s="32" t="s">
        <v>374</v>
      </c>
      <c r="H101" s="32">
        <v>1918.81</v>
      </c>
      <c r="I101" s="32">
        <v>1</v>
      </c>
      <c r="J101" s="32">
        <v>442.75</v>
      </c>
      <c r="K101" s="32" t="s">
        <v>351</v>
      </c>
      <c r="L101" s="32" t="str">
        <f t="shared" si="2"/>
        <v>Low</v>
      </c>
      <c r="M101" s="32">
        <v>1918.81</v>
      </c>
      <c r="N101" s="33" t="s">
        <v>348</v>
      </c>
      <c r="O101" s="32">
        <v>23.07</v>
      </c>
      <c r="P101">
        <f t="shared" si="3"/>
        <v>23.07</v>
      </c>
    </row>
  </sheetData>
  <conditionalFormatting sqref="A2:D101 F2:O101 A1:P1">
    <cfRule type="expression" priority="3">
      <formula>$I2&gt;5000</formula>
    </cfRule>
  </conditionalFormatting>
  <dataValidations count="2">
    <dataValidation type="whole" allowBlank="1" showInputMessage="1" showErrorMessage="1" sqref="A1:K101 M1:O101" xr:uid="{457C28D3-D40F-4C52-A60B-327BE2906B37}">
      <formula1>1</formula1>
      <formula2>20</formula2>
    </dataValidation>
    <dataValidation type="list" allowBlank="1" showInputMessage="1" showErrorMessage="1" sqref="L1:L1048576" xr:uid="{8F8A0BF0-DAF1-4A24-A0A0-DE89EB2FA01B}">
      <formula1>"1"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7B90-7A38-4BAC-94F5-0DAEC3598A71}">
  <dimension ref="A1:M50"/>
  <sheetViews>
    <sheetView topLeftCell="A10" workbookViewId="0">
      <selection activeCell="F9" sqref="F9"/>
    </sheetView>
  </sheetViews>
  <sheetFormatPr defaultRowHeight="14.4" x14ac:dyDescent="0.3"/>
  <cols>
    <col min="1" max="1" width="8.5546875" customWidth="1"/>
    <col min="2" max="2" width="10.33203125" bestFit="1" customWidth="1"/>
    <col min="3" max="3" width="14.33203125" bestFit="1" customWidth="1"/>
    <col min="4" max="4" width="10.21875" bestFit="1" customWidth="1"/>
    <col min="5" max="5" width="11.77734375" customWidth="1"/>
    <col min="6" max="6" width="15.44140625" bestFit="1" customWidth="1"/>
    <col min="7" max="7" width="12.44140625" customWidth="1"/>
    <col min="8" max="8" width="17" customWidth="1"/>
    <col min="9" max="9" width="12.88671875" customWidth="1"/>
    <col min="10" max="10" width="9.5546875" customWidth="1"/>
    <col min="11" max="11" width="18.21875" customWidth="1"/>
    <col min="12" max="12" width="12.6640625" customWidth="1"/>
    <col min="13" max="13" width="29.21875" customWidth="1"/>
    <col min="14" max="14" width="25.21875" customWidth="1"/>
  </cols>
  <sheetData>
    <row r="1" spans="1:13" ht="43.8" thickBot="1" x14ac:dyDescent="0.35">
      <c r="A1" s="24" t="s">
        <v>194</v>
      </c>
      <c r="B1" s="25" t="s">
        <v>22</v>
      </c>
      <c r="C1" s="25" t="s">
        <v>195</v>
      </c>
      <c r="D1" s="25" t="s">
        <v>196</v>
      </c>
      <c r="E1" s="25" t="s">
        <v>197</v>
      </c>
      <c r="F1" s="25" t="s">
        <v>172</v>
      </c>
      <c r="G1" s="25" t="s">
        <v>198</v>
      </c>
      <c r="H1" s="25" t="s">
        <v>199</v>
      </c>
      <c r="I1" s="25" t="s">
        <v>200</v>
      </c>
      <c r="J1" s="25" t="s">
        <v>201</v>
      </c>
      <c r="K1" s="25" t="s">
        <v>202</v>
      </c>
      <c r="L1" s="25" t="s">
        <v>203</v>
      </c>
      <c r="M1" s="30" t="s">
        <v>313</v>
      </c>
    </row>
    <row r="2" spans="1:13" ht="15" thickBot="1" x14ac:dyDescent="0.35">
      <c r="A2" s="7">
        <v>1001</v>
      </c>
      <c r="B2" s="23">
        <v>45658</v>
      </c>
      <c r="C2" s="4" t="s">
        <v>204</v>
      </c>
      <c r="D2" s="4" t="s">
        <v>205</v>
      </c>
      <c r="E2" s="4" t="s">
        <v>206</v>
      </c>
      <c r="F2" s="4" t="s">
        <v>207</v>
      </c>
      <c r="G2" s="7">
        <v>10</v>
      </c>
      <c r="H2" s="7">
        <v>999</v>
      </c>
      <c r="I2" s="7">
        <v>999</v>
      </c>
      <c r="J2" s="7">
        <v>998001</v>
      </c>
      <c r="K2" s="7">
        <v>28</v>
      </c>
      <c r="L2" s="4" t="s">
        <v>208</v>
      </c>
      <c r="M2" s="29">
        <f t="shared" ref="M2:M33" ca="1" si="0">VLOOKUP(M2, $F$2:$H$101, 3, FALSE)</f>
        <v>0</v>
      </c>
    </row>
    <row r="3" spans="1:13" ht="15" thickBot="1" x14ac:dyDescent="0.35">
      <c r="A3" s="7">
        <v>1003</v>
      </c>
      <c r="B3" s="23">
        <v>45660</v>
      </c>
      <c r="C3" s="4" t="s">
        <v>209</v>
      </c>
      <c r="D3" s="4" t="s">
        <v>210</v>
      </c>
      <c r="E3" s="4" t="s">
        <v>211</v>
      </c>
      <c r="F3" s="4" t="s">
        <v>212</v>
      </c>
      <c r="G3" s="7">
        <v>3</v>
      </c>
      <c r="H3" s="7">
        <v>1999</v>
      </c>
      <c r="I3" s="7">
        <v>5997</v>
      </c>
      <c r="J3" s="7">
        <v>25</v>
      </c>
      <c r="K3" s="7">
        <v>40</v>
      </c>
      <c r="L3" s="4" t="s">
        <v>213</v>
      </c>
      <c r="M3" s="7">
        <f t="shared" ca="1" si="0"/>
        <v>0</v>
      </c>
    </row>
    <row r="4" spans="1:13" ht="21" customHeight="1" thickBot="1" x14ac:dyDescent="0.35">
      <c r="A4" s="7">
        <v>1004</v>
      </c>
      <c r="B4" s="23">
        <v>45661</v>
      </c>
      <c r="C4" s="4" t="s">
        <v>214</v>
      </c>
      <c r="D4" s="4" t="s">
        <v>215</v>
      </c>
      <c r="E4" s="4" t="s">
        <v>206</v>
      </c>
      <c r="F4" s="4" t="s">
        <v>216</v>
      </c>
      <c r="G4" s="7">
        <v>6</v>
      </c>
      <c r="H4" s="7">
        <v>2499</v>
      </c>
      <c r="I4" s="7">
        <v>9996</v>
      </c>
      <c r="J4" s="7">
        <v>30</v>
      </c>
      <c r="K4" s="7">
        <v>24</v>
      </c>
      <c r="L4" s="4" t="s">
        <v>217</v>
      </c>
      <c r="M4" s="7">
        <f t="shared" ca="1" si="0"/>
        <v>0</v>
      </c>
    </row>
    <row r="5" spans="1:13" ht="15" thickBot="1" x14ac:dyDescent="0.35">
      <c r="A5" s="7">
        <v>1005</v>
      </c>
      <c r="B5" s="23">
        <v>45662</v>
      </c>
      <c r="C5" s="4" t="s">
        <v>218</v>
      </c>
      <c r="D5" s="4" t="s">
        <v>205</v>
      </c>
      <c r="E5" s="4" t="s">
        <v>219</v>
      </c>
      <c r="F5" s="4" t="s">
        <v>220</v>
      </c>
      <c r="G5" s="7">
        <v>8</v>
      </c>
      <c r="H5" s="7">
        <v>2999</v>
      </c>
      <c r="I5" s="7">
        <v>14995</v>
      </c>
      <c r="J5" s="7">
        <v>18</v>
      </c>
      <c r="K5" s="7">
        <v>31</v>
      </c>
      <c r="L5" s="4" t="s">
        <v>208</v>
      </c>
      <c r="M5" s="7">
        <f t="shared" ca="1" si="0"/>
        <v>0</v>
      </c>
    </row>
    <row r="6" spans="1:13" ht="15" thickBot="1" x14ac:dyDescent="0.35">
      <c r="A6" s="7">
        <v>1006</v>
      </c>
      <c r="B6" s="23">
        <v>45663</v>
      </c>
      <c r="C6" s="4" t="s">
        <v>221</v>
      </c>
      <c r="D6" s="4" t="s">
        <v>222</v>
      </c>
      <c r="E6" s="4" t="s">
        <v>211</v>
      </c>
      <c r="F6" s="4" t="s">
        <v>223</v>
      </c>
      <c r="G6" s="7">
        <v>3</v>
      </c>
      <c r="H6" s="7">
        <v>999</v>
      </c>
      <c r="I6" s="7">
        <v>4995</v>
      </c>
      <c r="J6" s="7">
        <v>15</v>
      </c>
      <c r="K6" s="7">
        <v>29</v>
      </c>
      <c r="L6" s="4" t="s">
        <v>224</v>
      </c>
      <c r="M6" s="7">
        <f t="shared" ca="1" si="0"/>
        <v>0</v>
      </c>
    </row>
    <row r="7" spans="1:13" ht="15" thickBot="1" x14ac:dyDescent="0.35">
      <c r="A7" s="7">
        <v>1007</v>
      </c>
      <c r="B7" s="23">
        <v>45664</v>
      </c>
      <c r="C7" s="4" t="s">
        <v>225</v>
      </c>
      <c r="D7" s="4" t="s">
        <v>210</v>
      </c>
      <c r="E7" s="4" t="s">
        <v>206</v>
      </c>
      <c r="F7" s="4" t="s">
        <v>226</v>
      </c>
      <c r="G7" s="7">
        <v>9</v>
      </c>
      <c r="H7" s="7">
        <v>1499</v>
      </c>
      <c r="I7" s="7">
        <v>2998</v>
      </c>
      <c r="J7" s="7">
        <v>20</v>
      </c>
      <c r="K7" s="7">
        <v>45</v>
      </c>
      <c r="L7" s="4" t="s">
        <v>213</v>
      </c>
      <c r="M7" s="7">
        <f t="shared" ca="1" si="0"/>
        <v>0</v>
      </c>
    </row>
    <row r="8" spans="1:13" ht="15" thickBot="1" x14ac:dyDescent="0.35">
      <c r="A8" s="7">
        <v>1008</v>
      </c>
      <c r="B8" s="23">
        <v>45665</v>
      </c>
      <c r="C8" s="4" t="s">
        <v>227</v>
      </c>
      <c r="D8" s="4" t="s">
        <v>215</v>
      </c>
      <c r="E8" s="4" t="s">
        <v>219</v>
      </c>
      <c r="F8" s="4" t="s">
        <v>228</v>
      </c>
      <c r="G8" s="7">
        <v>5</v>
      </c>
      <c r="H8" s="7">
        <v>1999</v>
      </c>
      <c r="I8" s="7">
        <v>5997</v>
      </c>
      <c r="J8" s="7">
        <v>25</v>
      </c>
      <c r="K8" s="7">
        <v>32</v>
      </c>
      <c r="L8" s="4" t="s">
        <v>217</v>
      </c>
      <c r="M8" s="7">
        <f t="shared" ca="1" si="0"/>
        <v>0</v>
      </c>
    </row>
    <row r="9" spans="1:13" ht="15" thickBot="1" x14ac:dyDescent="0.35">
      <c r="A9" s="7">
        <v>1009</v>
      </c>
      <c r="B9" s="23">
        <v>45666</v>
      </c>
      <c r="C9" s="4" t="s">
        <v>229</v>
      </c>
      <c r="D9" s="4" t="s">
        <v>205</v>
      </c>
      <c r="E9" s="4" t="s">
        <v>211</v>
      </c>
      <c r="F9" s="4" t="s">
        <v>230</v>
      </c>
      <c r="G9" s="7">
        <v>2</v>
      </c>
      <c r="H9" s="7">
        <v>2499</v>
      </c>
      <c r="I9" s="7">
        <v>19992</v>
      </c>
      <c r="J9" s="7">
        <v>30</v>
      </c>
      <c r="K9" s="7">
        <v>27</v>
      </c>
      <c r="L9" s="4" t="s">
        <v>208</v>
      </c>
      <c r="M9" s="7">
        <f t="shared" ca="1" si="0"/>
        <v>0</v>
      </c>
    </row>
    <row r="10" spans="1:13" ht="15" thickBot="1" x14ac:dyDescent="0.35">
      <c r="A10" s="7">
        <v>10010</v>
      </c>
      <c r="B10" s="23">
        <v>45667</v>
      </c>
      <c r="C10" s="4" t="s">
        <v>231</v>
      </c>
      <c r="D10" s="4" t="s">
        <v>222</v>
      </c>
      <c r="E10" s="4" t="s">
        <v>206</v>
      </c>
      <c r="F10" s="4" t="s">
        <v>232</v>
      </c>
      <c r="G10" s="7">
        <v>7</v>
      </c>
      <c r="H10" s="7">
        <v>2999</v>
      </c>
      <c r="I10" s="7">
        <v>14995</v>
      </c>
      <c r="J10" s="7">
        <v>18</v>
      </c>
      <c r="K10" s="7">
        <v>39</v>
      </c>
      <c r="L10" s="4" t="s">
        <v>224</v>
      </c>
      <c r="M10" s="7">
        <f t="shared" ca="1" si="0"/>
        <v>0</v>
      </c>
    </row>
    <row r="11" spans="1:13" ht="15" thickBot="1" x14ac:dyDescent="0.35">
      <c r="A11" s="7">
        <v>10011</v>
      </c>
      <c r="B11" s="23">
        <v>45668</v>
      </c>
      <c r="C11" s="4" t="s">
        <v>233</v>
      </c>
      <c r="D11" s="4" t="s">
        <v>210</v>
      </c>
      <c r="E11" s="4" t="s">
        <v>219</v>
      </c>
      <c r="F11" s="4" t="s">
        <v>234</v>
      </c>
      <c r="G11" s="7">
        <v>10</v>
      </c>
      <c r="H11" s="7">
        <v>999</v>
      </c>
      <c r="I11" s="7">
        <v>999</v>
      </c>
      <c r="J11" s="7">
        <v>15</v>
      </c>
      <c r="K11" s="7">
        <v>28</v>
      </c>
      <c r="L11" s="4" t="s">
        <v>213</v>
      </c>
      <c r="M11" s="7">
        <f t="shared" ca="1" si="0"/>
        <v>0</v>
      </c>
    </row>
    <row r="12" spans="1:13" ht="15" thickBot="1" x14ac:dyDescent="0.35">
      <c r="A12" s="7">
        <v>10012</v>
      </c>
      <c r="B12" s="23">
        <v>45669</v>
      </c>
      <c r="C12" s="4" t="s">
        <v>235</v>
      </c>
      <c r="D12" s="4" t="s">
        <v>215</v>
      </c>
      <c r="E12" s="4" t="s">
        <v>211</v>
      </c>
      <c r="F12" s="4" t="s">
        <v>236</v>
      </c>
      <c r="G12" s="7">
        <v>3</v>
      </c>
      <c r="H12" s="7">
        <v>1499</v>
      </c>
      <c r="I12" s="7">
        <v>11992</v>
      </c>
      <c r="J12" s="7">
        <v>20</v>
      </c>
      <c r="K12" s="7">
        <v>35</v>
      </c>
      <c r="L12" s="4" t="s">
        <v>217</v>
      </c>
      <c r="M12" s="7">
        <f t="shared" ca="1" si="0"/>
        <v>0</v>
      </c>
    </row>
    <row r="13" spans="1:13" ht="15" thickBot="1" x14ac:dyDescent="0.35">
      <c r="A13" s="7">
        <v>10013</v>
      </c>
      <c r="B13" s="23">
        <v>45670</v>
      </c>
      <c r="C13" s="4" t="s">
        <v>237</v>
      </c>
      <c r="D13" s="4" t="s">
        <v>205</v>
      </c>
      <c r="E13" s="4" t="s">
        <v>206</v>
      </c>
      <c r="F13" s="4" t="s">
        <v>238</v>
      </c>
      <c r="G13" s="7">
        <v>3</v>
      </c>
      <c r="H13" s="7">
        <v>1999</v>
      </c>
      <c r="I13" s="7">
        <v>5997</v>
      </c>
      <c r="J13" s="7">
        <v>25</v>
      </c>
      <c r="K13" s="7">
        <v>40</v>
      </c>
      <c r="L13" s="4" t="s">
        <v>208</v>
      </c>
      <c r="M13" s="7">
        <f t="shared" ca="1" si="0"/>
        <v>0</v>
      </c>
    </row>
    <row r="14" spans="1:13" ht="15" thickBot="1" x14ac:dyDescent="0.35">
      <c r="A14" s="7">
        <v>10014</v>
      </c>
      <c r="B14" s="23">
        <v>45671</v>
      </c>
      <c r="C14" s="4" t="s">
        <v>239</v>
      </c>
      <c r="D14" s="4" t="s">
        <v>222</v>
      </c>
      <c r="E14" s="4" t="s">
        <v>219</v>
      </c>
      <c r="F14" s="4" t="s">
        <v>240</v>
      </c>
      <c r="G14" s="7">
        <v>6</v>
      </c>
      <c r="H14" s="7">
        <v>2499</v>
      </c>
      <c r="I14" s="7">
        <v>9996</v>
      </c>
      <c r="J14" s="7">
        <v>30</v>
      </c>
      <c r="K14" s="7">
        <v>24</v>
      </c>
      <c r="L14" s="4" t="s">
        <v>224</v>
      </c>
      <c r="M14" s="7">
        <f t="shared" ca="1" si="0"/>
        <v>0</v>
      </c>
    </row>
    <row r="15" spans="1:13" ht="15" thickBot="1" x14ac:dyDescent="0.35">
      <c r="A15" s="7">
        <v>10015</v>
      </c>
      <c r="B15" s="23">
        <v>45672</v>
      </c>
      <c r="C15" s="4" t="s">
        <v>241</v>
      </c>
      <c r="D15" s="4" t="s">
        <v>210</v>
      </c>
      <c r="E15" s="4" t="s">
        <v>211</v>
      </c>
      <c r="F15" s="4" t="s">
        <v>242</v>
      </c>
      <c r="G15" s="7">
        <v>6</v>
      </c>
      <c r="H15" s="7">
        <v>2999</v>
      </c>
      <c r="I15" s="7">
        <v>14995</v>
      </c>
      <c r="J15" s="7">
        <v>18</v>
      </c>
      <c r="K15" s="7">
        <v>31</v>
      </c>
      <c r="L15" s="4" t="s">
        <v>213</v>
      </c>
      <c r="M15" s="7">
        <f t="shared" ca="1" si="0"/>
        <v>0</v>
      </c>
    </row>
    <row r="16" spans="1:13" ht="15" thickBot="1" x14ac:dyDescent="0.35">
      <c r="A16" s="7">
        <v>10016</v>
      </c>
      <c r="B16" s="23">
        <v>45673</v>
      </c>
      <c r="C16" s="4" t="s">
        <v>243</v>
      </c>
      <c r="D16" s="4" t="s">
        <v>215</v>
      </c>
      <c r="E16" s="4" t="s">
        <v>206</v>
      </c>
      <c r="F16" s="4" t="s">
        <v>244</v>
      </c>
      <c r="G16" s="7">
        <v>10</v>
      </c>
      <c r="H16" s="7">
        <v>999</v>
      </c>
      <c r="I16" s="7">
        <v>5994</v>
      </c>
      <c r="J16" s="7">
        <v>15</v>
      </c>
      <c r="K16" s="7">
        <v>29</v>
      </c>
      <c r="L16" s="4" t="s">
        <v>217</v>
      </c>
      <c r="M16" s="7">
        <f t="shared" ca="1" si="0"/>
        <v>0</v>
      </c>
    </row>
    <row r="17" spans="1:13" ht="15" thickBot="1" x14ac:dyDescent="0.35">
      <c r="A17" s="7">
        <v>10017</v>
      </c>
      <c r="B17" s="23">
        <v>45674</v>
      </c>
      <c r="C17" s="4" t="s">
        <v>245</v>
      </c>
      <c r="D17" s="4" t="s">
        <v>205</v>
      </c>
      <c r="E17" s="4" t="s">
        <v>219</v>
      </c>
      <c r="F17" s="4" t="s">
        <v>246</v>
      </c>
      <c r="G17" s="7">
        <v>4</v>
      </c>
      <c r="H17" s="7">
        <v>1499</v>
      </c>
      <c r="I17" s="7">
        <v>2998</v>
      </c>
      <c r="J17" s="7">
        <v>20</v>
      </c>
      <c r="K17" s="7">
        <v>45</v>
      </c>
      <c r="L17" s="4" t="s">
        <v>208</v>
      </c>
      <c r="M17" s="7">
        <f t="shared" ca="1" si="0"/>
        <v>0</v>
      </c>
    </row>
    <row r="18" spans="1:13" ht="15" thickBot="1" x14ac:dyDescent="0.35">
      <c r="A18" s="7">
        <v>10018</v>
      </c>
      <c r="B18" s="23">
        <v>45675</v>
      </c>
      <c r="C18" s="4" t="s">
        <v>247</v>
      </c>
      <c r="D18" s="4" t="s">
        <v>222</v>
      </c>
      <c r="E18" s="4" t="s">
        <v>211</v>
      </c>
      <c r="F18" s="4" t="s">
        <v>248</v>
      </c>
      <c r="G18" s="7">
        <v>5</v>
      </c>
      <c r="H18" s="7">
        <v>1999</v>
      </c>
      <c r="I18" s="7">
        <v>13993</v>
      </c>
      <c r="J18" s="7">
        <v>25</v>
      </c>
      <c r="K18" s="7">
        <v>32</v>
      </c>
      <c r="L18" s="4" t="s">
        <v>224</v>
      </c>
      <c r="M18" s="7">
        <f t="shared" ca="1" si="0"/>
        <v>0</v>
      </c>
    </row>
    <row r="19" spans="1:13" ht="15" thickBot="1" x14ac:dyDescent="0.35">
      <c r="A19" s="7">
        <v>10019</v>
      </c>
      <c r="B19" s="23">
        <v>45676</v>
      </c>
      <c r="C19" s="4" t="s">
        <v>249</v>
      </c>
      <c r="D19" s="4" t="s">
        <v>210</v>
      </c>
      <c r="E19" s="4" t="s">
        <v>206</v>
      </c>
      <c r="F19" s="4" t="s">
        <v>250</v>
      </c>
      <c r="G19" s="7">
        <v>7</v>
      </c>
      <c r="H19" s="7">
        <v>2499</v>
      </c>
      <c r="I19" s="7">
        <v>9996</v>
      </c>
      <c r="J19" s="7">
        <v>30</v>
      </c>
      <c r="K19" s="7">
        <v>27</v>
      </c>
      <c r="L19" s="4" t="s">
        <v>213</v>
      </c>
      <c r="M19" s="7">
        <f t="shared" ca="1" si="0"/>
        <v>0</v>
      </c>
    </row>
    <row r="20" spans="1:13" ht="15" thickBot="1" x14ac:dyDescent="0.35">
      <c r="A20" s="7">
        <v>10020</v>
      </c>
      <c r="B20" s="23">
        <v>45677</v>
      </c>
      <c r="C20" s="4" t="s">
        <v>251</v>
      </c>
      <c r="D20" s="4" t="s">
        <v>215</v>
      </c>
      <c r="E20" s="4" t="s">
        <v>219</v>
      </c>
      <c r="F20" s="4" t="s">
        <v>252</v>
      </c>
      <c r="G20" s="7">
        <v>6</v>
      </c>
      <c r="H20" s="7">
        <v>2999</v>
      </c>
      <c r="I20" s="7">
        <v>14995</v>
      </c>
      <c r="J20" s="7">
        <v>18</v>
      </c>
      <c r="K20" s="7">
        <v>39</v>
      </c>
      <c r="L20" s="4" t="s">
        <v>217</v>
      </c>
      <c r="M20" s="7">
        <f t="shared" ca="1" si="0"/>
        <v>0</v>
      </c>
    </row>
    <row r="21" spans="1:13" ht="15" thickBot="1" x14ac:dyDescent="0.35">
      <c r="A21" s="7">
        <v>10021</v>
      </c>
      <c r="B21" s="23">
        <v>45678</v>
      </c>
      <c r="C21" s="4" t="s">
        <v>253</v>
      </c>
      <c r="D21" s="4" t="s">
        <v>205</v>
      </c>
      <c r="E21" s="4" t="s">
        <v>211</v>
      </c>
      <c r="F21" s="4" t="s">
        <v>254</v>
      </c>
      <c r="G21" s="7">
        <v>7</v>
      </c>
      <c r="H21" s="7">
        <v>999</v>
      </c>
      <c r="I21" s="7">
        <v>999</v>
      </c>
      <c r="J21" s="7">
        <v>15</v>
      </c>
      <c r="K21" s="7">
        <v>28</v>
      </c>
      <c r="L21" s="4" t="s">
        <v>208</v>
      </c>
      <c r="M21" s="7">
        <f t="shared" ca="1" si="0"/>
        <v>0</v>
      </c>
    </row>
    <row r="22" spans="1:13" ht="15" thickBot="1" x14ac:dyDescent="0.35">
      <c r="A22" s="7">
        <v>10022</v>
      </c>
      <c r="B22" s="23">
        <v>45679</v>
      </c>
      <c r="C22" s="4" t="s">
        <v>255</v>
      </c>
      <c r="D22" s="4" t="s">
        <v>222</v>
      </c>
      <c r="E22" s="4" t="s">
        <v>206</v>
      </c>
      <c r="F22" s="4" t="s">
        <v>256</v>
      </c>
      <c r="G22" s="7">
        <v>3</v>
      </c>
      <c r="H22" s="7">
        <v>1499</v>
      </c>
      <c r="I22" s="7">
        <v>17988</v>
      </c>
      <c r="J22" s="7">
        <v>20</v>
      </c>
      <c r="K22" s="7">
        <v>35</v>
      </c>
      <c r="L22" s="4" t="s">
        <v>224</v>
      </c>
      <c r="M22" s="7">
        <f t="shared" ca="1" si="0"/>
        <v>0</v>
      </c>
    </row>
    <row r="23" spans="1:13" ht="15" thickBot="1" x14ac:dyDescent="0.35">
      <c r="A23" s="7">
        <v>10023</v>
      </c>
      <c r="B23" s="23">
        <v>45680</v>
      </c>
      <c r="C23" s="4" t="s">
        <v>257</v>
      </c>
      <c r="D23" s="4" t="s">
        <v>210</v>
      </c>
      <c r="E23" s="4" t="s">
        <v>219</v>
      </c>
      <c r="F23" s="4" t="s">
        <v>258</v>
      </c>
      <c r="G23" s="7">
        <v>4</v>
      </c>
      <c r="H23" s="7">
        <v>1999</v>
      </c>
      <c r="I23" s="7">
        <v>5997</v>
      </c>
      <c r="J23" s="7">
        <v>25</v>
      </c>
      <c r="K23" s="7">
        <v>40</v>
      </c>
      <c r="L23" s="4" t="s">
        <v>213</v>
      </c>
      <c r="M23" s="7">
        <f t="shared" ca="1" si="0"/>
        <v>0</v>
      </c>
    </row>
    <row r="24" spans="1:13" ht="15" thickBot="1" x14ac:dyDescent="0.35">
      <c r="A24" s="7">
        <v>10024</v>
      </c>
      <c r="B24" s="23">
        <v>45681</v>
      </c>
      <c r="C24" s="4" t="s">
        <v>259</v>
      </c>
      <c r="D24" s="4" t="s">
        <v>215</v>
      </c>
      <c r="E24" s="4" t="s">
        <v>211</v>
      </c>
      <c r="F24" s="4" t="s">
        <v>260</v>
      </c>
      <c r="G24" s="7">
        <v>10</v>
      </c>
      <c r="H24" s="7">
        <v>2499</v>
      </c>
      <c r="I24" s="7">
        <v>9996</v>
      </c>
      <c r="J24" s="7">
        <v>30</v>
      </c>
      <c r="K24" s="7">
        <v>24</v>
      </c>
      <c r="L24" s="4" t="s">
        <v>217</v>
      </c>
      <c r="M24" s="7">
        <f t="shared" ca="1" si="0"/>
        <v>0</v>
      </c>
    </row>
    <row r="25" spans="1:13" ht="15" thickBot="1" x14ac:dyDescent="0.35">
      <c r="A25" s="7">
        <v>10025</v>
      </c>
      <c r="B25" s="23">
        <v>45682</v>
      </c>
      <c r="C25" s="4" t="s">
        <v>261</v>
      </c>
      <c r="D25" s="4" t="s">
        <v>205</v>
      </c>
      <c r="E25" s="4" t="s">
        <v>206</v>
      </c>
      <c r="F25" s="4" t="s">
        <v>262</v>
      </c>
      <c r="G25" s="7">
        <v>8</v>
      </c>
      <c r="H25" s="7">
        <v>2999</v>
      </c>
      <c r="I25" s="7">
        <v>14995</v>
      </c>
      <c r="J25" s="7">
        <v>18</v>
      </c>
      <c r="K25" s="7">
        <v>31</v>
      </c>
      <c r="L25" s="4" t="s">
        <v>208</v>
      </c>
      <c r="M25" s="7">
        <f t="shared" ca="1" si="0"/>
        <v>0</v>
      </c>
    </row>
    <row r="26" spans="1:13" ht="15" thickBot="1" x14ac:dyDescent="0.35">
      <c r="A26" s="7">
        <v>10026</v>
      </c>
      <c r="B26" s="23">
        <v>45683</v>
      </c>
      <c r="C26" s="4" t="s">
        <v>263</v>
      </c>
      <c r="D26" s="4" t="s">
        <v>222</v>
      </c>
      <c r="E26" s="4" t="s">
        <v>219</v>
      </c>
      <c r="F26" s="4" t="s">
        <v>264</v>
      </c>
      <c r="G26" s="7">
        <v>4</v>
      </c>
      <c r="H26" s="7">
        <v>999</v>
      </c>
      <c r="I26" s="7">
        <v>2997</v>
      </c>
      <c r="J26" s="7">
        <v>15</v>
      </c>
      <c r="K26" s="7">
        <v>29</v>
      </c>
      <c r="L26" s="4" t="s">
        <v>224</v>
      </c>
      <c r="M26" s="7">
        <f t="shared" ca="1" si="0"/>
        <v>0</v>
      </c>
    </row>
    <row r="27" spans="1:13" ht="15" thickBot="1" x14ac:dyDescent="0.35">
      <c r="A27" s="7">
        <v>10027</v>
      </c>
      <c r="B27" s="23">
        <v>45684</v>
      </c>
      <c r="C27" s="4" t="s">
        <v>265</v>
      </c>
      <c r="D27" s="4" t="s">
        <v>210</v>
      </c>
      <c r="E27" s="4" t="s">
        <v>211</v>
      </c>
      <c r="F27" s="4" t="s">
        <v>266</v>
      </c>
      <c r="G27" s="7">
        <v>3</v>
      </c>
      <c r="H27" s="7">
        <v>1499</v>
      </c>
      <c r="I27" s="7">
        <v>2998</v>
      </c>
      <c r="J27" s="7">
        <v>20</v>
      </c>
      <c r="K27" s="7">
        <v>45</v>
      </c>
      <c r="L27" s="4" t="s">
        <v>213</v>
      </c>
      <c r="M27" s="7">
        <f t="shared" ca="1" si="0"/>
        <v>0</v>
      </c>
    </row>
    <row r="28" spans="1:13" ht="15" thickBot="1" x14ac:dyDescent="0.35">
      <c r="A28" s="7">
        <v>10028</v>
      </c>
      <c r="B28" s="23">
        <v>45685</v>
      </c>
      <c r="C28" s="4" t="s">
        <v>267</v>
      </c>
      <c r="D28" s="4" t="s">
        <v>215</v>
      </c>
      <c r="E28" s="4" t="s">
        <v>206</v>
      </c>
      <c r="F28" s="4" t="s">
        <v>268</v>
      </c>
      <c r="G28" s="7">
        <v>6</v>
      </c>
      <c r="H28" s="7">
        <v>1999</v>
      </c>
      <c r="I28" s="7">
        <v>5997</v>
      </c>
      <c r="J28" s="7">
        <v>25</v>
      </c>
      <c r="K28" s="7">
        <v>32</v>
      </c>
      <c r="L28" s="4" t="s">
        <v>217</v>
      </c>
      <c r="M28" s="7">
        <f t="shared" ca="1" si="0"/>
        <v>0</v>
      </c>
    </row>
    <row r="29" spans="1:13" ht="15" thickBot="1" x14ac:dyDescent="0.35">
      <c r="A29" s="7">
        <v>10029</v>
      </c>
      <c r="B29" s="23">
        <v>45686</v>
      </c>
      <c r="C29" s="4" t="s">
        <v>269</v>
      </c>
      <c r="D29" s="4" t="s">
        <v>205</v>
      </c>
      <c r="E29" s="4" t="s">
        <v>219</v>
      </c>
      <c r="F29" s="4" t="s">
        <v>270</v>
      </c>
      <c r="G29" s="7">
        <v>7</v>
      </c>
      <c r="H29" s="7">
        <v>2499</v>
      </c>
      <c r="I29" s="7">
        <v>9996</v>
      </c>
      <c r="J29" s="7">
        <v>30</v>
      </c>
      <c r="K29" s="7">
        <v>27</v>
      </c>
      <c r="L29" s="4" t="s">
        <v>208</v>
      </c>
      <c r="M29" s="7">
        <f t="shared" ca="1" si="0"/>
        <v>0</v>
      </c>
    </row>
    <row r="30" spans="1:13" ht="15" thickBot="1" x14ac:dyDescent="0.35">
      <c r="A30" s="7">
        <v>10030</v>
      </c>
      <c r="B30" s="23">
        <v>45687</v>
      </c>
      <c r="C30" s="4" t="s">
        <v>271</v>
      </c>
      <c r="D30" s="4" t="s">
        <v>222</v>
      </c>
      <c r="E30" s="4" t="s">
        <v>211</v>
      </c>
      <c r="F30" s="4" t="s">
        <v>272</v>
      </c>
      <c r="G30" s="7">
        <v>6</v>
      </c>
      <c r="H30" s="7">
        <v>2999</v>
      </c>
      <c r="I30" s="7">
        <v>26991</v>
      </c>
      <c r="J30" s="7">
        <v>18</v>
      </c>
      <c r="K30" s="7">
        <v>39</v>
      </c>
      <c r="L30" s="4" t="s">
        <v>224</v>
      </c>
      <c r="M30" s="7">
        <f t="shared" ca="1" si="0"/>
        <v>0</v>
      </c>
    </row>
    <row r="31" spans="1:13" ht="15" thickBot="1" x14ac:dyDescent="0.35">
      <c r="A31" s="7">
        <v>10031</v>
      </c>
      <c r="B31" s="23">
        <v>45688</v>
      </c>
      <c r="C31" s="4" t="s">
        <v>273</v>
      </c>
      <c r="D31" s="4" t="s">
        <v>210</v>
      </c>
      <c r="E31" s="4" t="s">
        <v>206</v>
      </c>
      <c r="F31" s="4" t="s">
        <v>274</v>
      </c>
      <c r="G31" s="7">
        <v>3</v>
      </c>
      <c r="H31" s="7">
        <v>999</v>
      </c>
      <c r="I31" s="7">
        <v>999</v>
      </c>
      <c r="J31" s="7">
        <v>15</v>
      </c>
      <c r="K31" s="7">
        <v>28</v>
      </c>
      <c r="L31" s="4" t="s">
        <v>213</v>
      </c>
      <c r="M31" s="7">
        <f t="shared" ca="1" si="0"/>
        <v>0</v>
      </c>
    </row>
    <row r="32" spans="1:13" ht="15" thickBot="1" x14ac:dyDescent="0.35">
      <c r="A32" s="7">
        <v>10032</v>
      </c>
      <c r="B32" s="23">
        <v>45689</v>
      </c>
      <c r="C32" s="4" t="s">
        <v>275</v>
      </c>
      <c r="D32" s="4" t="s">
        <v>215</v>
      </c>
      <c r="E32" s="4" t="s">
        <v>219</v>
      </c>
      <c r="F32" s="4" t="s">
        <v>276</v>
      </c>
      <c r="G32" s="7">
        <v>3</v>
      </c>
      <c r="H32" s="7">
        <v>1499</v>
      </c>
      <c r="I32" s="7">
        <v>2998</v>
      </c>
      <c r="J32" s="7">
        <v>20</v>
      </c>
      <c r="K32" s="7">
        <v>35</v>
      </c>
      <c r="L32" s="4" t="s">
        <v>217</v>
      </c>
      <c r="M32" s="7">
        <f t="shared" ca="1" si="0"/>
        <v>0</v>
      </c>
    </row>
    <row r="33" spans="1:13" ht="15" thickBot="1" x14ac:dyDescent="0.35">
      <c r="A33" s="7">
        <v>10033</v>
      </c>
      <c r="B33" s="23">
        <v>45690</v>
      </c>
      <c r="C33" s="4" t="s">
        <v>277</v>
      </c>
      <c r="D33" s="4" t="s">
        <v>205</v>
      </c>
      <c r="E33" s="4" t="s">
        <v>211</v>
      </c>
      <c r="F33" s="4" t="s">
        <v>278</v>
      </c>
      <c r="G33" s="7">
        <v>7</v>
      </c>
      <c r="H33" s="7">
        <v>1999</v>
      </c>
      <c r="I33" s="7">
        <v>5997</v>
      </c>
      <c r="J33" s="7">
        <v>25</v>
      </c>
      <c r="K33" s="7">
        <v>40</v>
      </c>
      <c r="L33" s="4" t="s">
        <v>208</v>
      </c>
      <c r="M33" s="7">
        <f t="shared" ca="1" si="0"/>
        <v>0</v>
      </c>
    </row>
    <row r="34" spans="1:13" ht="15" thickBot="1" x14ac:dyDescent="0.35">
      <c r="A34" s="7">
        <v>10034</v>
      </c>
      <c r="B34" s="23">
        <v>45691</v>
      </c>
      <c r="C34" s="4" t="s">
        <v>279</v>
      </c>
      <c r="D34" s="4" t="s">
        <v>222</v>
      </c>
      <c r="E34" s="4" t="s">
        <v>206</v>
      </c>
      <c r="F34" s="4" t="s">
        <v>280</v>
      </c>
      <c r="G34" s="7">
        <v>10</v>
      </c>
      <c r="H34" s="7">
        <v>2499</v>
      </c>
      <c r="I34" s="7">
        <v>9996</v>
      </c>
      <c r="J34" s="7">
        <v>30</v>
      </c>
      <c r="K34" s="7">
        <v>24</v>
      </c>
      <c r="L34" s="4" t="s">
        <v>224</v>
      </c>
      <c r="M34" s="7">
        <f t="shared" ref="M34:M50" ca="1" si="1">VLOOKUP(M34, $F$2:$H$101, 3, FALSE)</f>
        <v>0</v>
      </c>
    </row>
    <row r="35" spans="1:13" ht="15" thickBot="1" x14ac:dyDescent="0.35">
      <c r="A35" s="7">
        <v>10035</v>
      </c>
      <c r="B35" s="23">
        <v>45692</v>
      </c>
      <c r="C35" s="4" t="s">
        <v>281</v>
      </c>
      <c r="D35" s="4" t="s">
        <v>210</v>
      </c>
      <c r="E35" s="4" t="s">
        <v>219</v>
      </c>
      <c r="F35" s="4" t="s">
        <v>282</v>
      </c>
      <c r="G35" s="7">
        <v>2</v>
      </c>
      <c r="H35" s="7">
        <v>2999</v>
      </c>
      <c r="I35" s="7">
        <v>14995</v>
      </c>
      <c r="J35" s="7">
        <v>18</v>
      </c>
      <c r="K35" s="7">
        <v>31</v>
      </c>
      <c r="L35" s="4" t="s">
        <v>213</v>
      </c>
      <c r="M35" s="7">
        <f t="shared" ca="1" si="1"/>
        <v>0</v>
      </c>
    </row>
    <row r="36" spans="1:13" ht="15" thickBot="1" x14ac:dyDescent="0.35">
      <c r="A36" s="7">
        <v>10036</v>
      </c>
      <c r="B36" s="23">
        <v>45693</v>
      </c>
      <c r="C36" s="4" t="s">
        <v>283</v>
      </c>
      <c r="D36" s="4" t="s">
        <v>215</v>
      </c>
      <c r="E36" s="4" t="s">
        <v>211</v>
      </c>
      <c r="F36" s="4" t="s">
        <v>284</v>
      </c>
      <c r="G36" s="7">
        <v>6</v>
      </c>
      <c r="H36" s="7">
        <v>999</v>
      </c>
      <c r="I36" s="7">
        <v>999</v>
      </c>
      <c r="J36" s="7">
        <v>15</v>
      </c>
      <c r="K36" s="7">
        <v>29</v>
      </c>
      <c r="L36" s="4" t="s">
        <v>217</v>
      </c>
      <c r="M36" s="7">
        <f t="shared" ca="1" si="1"/>
        <v>0</v>
      </c>
    </row>
    <row r="37" spans="1:13" ht="15" thickBot="1" x14ac:dyDescent="0.35">
      <c r="A37" s="7">
        <v>10037</v>
      </c>
      <c r="B37" s="23">
        <v>45694</v>
      </c>
      <c r="C37" s="4" t="s">
        <v>285</v>
      </c>
      <c r="D37" s="4" t="s">
        <v>205</v>
      </c>
      <c r="E37" s="4" t="s">
        <v>206</v>
      </c>
      <c r="F37" s="4" t="s">
        <v>286</v>
      </c>
      <c r="G37" s="7">
        <v>7</v>
      </c>
      <c r="H37" s="7">
        <v>1499</v>
      </c>
      <c r="I37" s="7">
        <v>2998</v>
      </c>
      <c r="J37" s="7">
        <v>20</v>
      </c>
      <c r="K37" s="7">
        <v>45</v>
      </c>
      <c r="L37" s="4" t="s">
        <v>208</v>
      </c>
      <c r="M37" s="7">
        <f t="shared" ca="1" si="1"/>
        <v>0</v>
      </c>
    </row>
    <row r="38" spans="1:13" ht="15" thickBot="1" x14ac:dyDescent="0.35">
      <c r="A38" s="7">
        <v>10038</v>
      </c>
      <c r="B38" s="23">
        <v>45695</v>
      </c>
      <c r="C38" s="4" t="s">
        <v>287</v>
      </c>
      <c r="D38" s="4" t="s">
        <v>222</v>
      </c>
      <c r="E38" s="4" t="s">
        <v>219</v>
      </c>
      <c r="F38" s="4" t="s">
        <v>288</v>
      </c>
      <c r="G38" s="7">
        <v>10</v>
      </c>
      <c r="H38" s="7">
        <v>1999</v>
      </c>
      <c r="I38" s="7">
        <v>3998</v>
      </c>
      <c r="J38" s="7">
        <v>25</v>
      </c>
      <c r="K38" s="7">
        <v>32</v>
      </c>
      <c r="L38" s="4" t="s">
        <v>224</v>
      </c>
      <c r="M38" s="7">
        <f t="shared" ca="1" si="1"/>
        <v>0</v>
      </c>
    </row>
    <row r="39" spans="1:13" ht="15" thickBot="1" x14ac:dyDescent="0.35">
      <c r="A39" s="7">
        <v>10039</v>
      </c>
      <c r="B39" s="23">
        <v>45696</v>
      </c>
      <c r="C39" s="4" t="s">
        <v>289</v>
      </c>
      <c r="D39" s="4" t="s">
        <v>210</v>
      </c>
      <c r="E39" s="4" t="s">
        <v>211</v>
      </c>
      <c r="F39" s="4" t="s">
        <v>290</v>
      </c>
      <c r="G39" s="7">
        <v>7</v>
      </c>
      <c r="H39" s="7">
        <v>2499</v>
      </c>
      <c r="I39" s="7">
        <v>9996</v>
      </c>
      <c r="J39" s="7">
        <v>30</v>
      </c>
      <c r="K39" s="7">
        <v>27</v>
      </c>
      <c r="L39" s="4" t="s">
        <v>213</v>
      </c>
      <c r="M39" s="7">
        <f t="shared" ca="1" si="1"/>
        <v>0</v>
      </c>
    </row>
    <row r="40" spans="1:13" ht="15" thickBot="1" x14ac:dyDescent="0.35">
      <c r="A40" s="7">
        <v>10040</v>
      </c>
      <c r="B40" s="23">
        <v>45697</v>
      </c>
      <c r="C40" s="4" t="s">
        <v>291</v>
      </c>
      <c r="D40" s="4" t="s">
        <v>215</v>
      </c>
      <c r="E40" s="4" t="s">
        <v>206</v>
      </c>
      <c r="F40" s="4" t="s">
        <v>292</v>
      </c>
      <c r="G40" s="7">
        <v>7</v>
      </c>
      <c r="H40" s="7">
        <v>2999</v>
      </c>
      <c r="I40" s="7">
        <v>8997</v>
      </c>
      <c r="J40" s="7">
        <v>18</v>
      </c>
      <c r="K40" s="7">
        <v>39</v>
      </c>
      <c r="L40" s="4" t="s">
        <v>217</v>
      </c>
      <c r="M40" s="7">
        <f t="shared" ca="1" si="1"/>
        <v>0</v>
      </c>
    </row>
    <row r="41" spans="1:13" ht="15" thickBot="1" x14ac:dyDescent="0.35">
      <c r="A41" s="7">
        <v>10041</v>
      </c>
      <c r="B41" s="23">
        <v>45698</v>
      </c>
      <c r="C41" s="4" t="s">
        <v>293</v>
      </c>
      <c r="D41" s="4" t="s">
        <v>205</v>
      </c>
      <c r="E41" s="4" t="s">
        <v>219</v>
      </c>
      <c r="F41" s="4" t="s">
        <v>294</v>
      </c>
      <c r="G41" s="7">
        <v>5</v>
      </c>
      <c r="H41" s="7">
        <v>999</v>
      </c>
      <c r="I41" s="7">
        <v>999</v>
      </c>
      <c r="J41" s="7">
        <v>15</v>
      </c>
      <c r="K41" s="7">
        <v>28</v>
      </c>
      <c r="L41" s="4" t="s">
        <v>208</v>
      </c>
      <c r="M41" s="7">
        <f t="shared" ca="1" si="1"/>
        <v>0</v>
      </c>
    </row>
    <row r="42" spans="1:13" ht="15" thickBot="1" x14ac:dyDescent="0.35">
      <c r="A42" s="7">
        <v>10042</v>
      </c>
      <c r="B42" s="23">
        <v>45699</v>
      </c>
      <c r="C42" s="4" t="s">
        <v>295</v>
      </c>
      <c r="D42" s="4" t="s">
        <v>222</v>
      </c>
      <c r="E42" s="4" t="s">
        <v>211</v>
      </c>
      <c r="F42" s="4" t="s">
        <v>296</v>
      </c>
      <c r="G42" s="7">
        <v>8</v>
      </c>
      <c r="H42" s="7">
        <v>1499</v>
      </c>
      <c r="I42" s="7">
        <v>2998</v>
      </c>
      <c r="J42" s="7">
        <v>20</v>
      </c>
      <c r="K42" s="7">
        <v>35</v>
      </c>
      <c r="L42" s="4" t="s">
        <v>224</v>
      </c>
      <c r="M42" s="7">
        <f t="shared" ca="1" si="1"/>
        <v>0</v>
      </c>
    </row>
    <row r="43" spans="1:13" ht="15" thickBot="1" x14ac:dyDescent="0.35">
      <c r="A43" s="7">
        <v>10043</v>
      </c>
      <c r="B43" s="23">
        <v>45700</v>
      </c>
      <c r="C43" s="4" t="s">
        <v>297</v>
      </c>
      <c r="D43" s="4" t="s">
        <v>210</v>
      </c>
      <c r="E43" s="4" t="s">
        <v>206</v>
      </c>
      <c r="F43" s="4" t="s">
        <v>298</v>
      </c>
      <c r="G43" s="7">
        <v>1</v>
      </c>
      <c r="H43" s="7">
        <v>1999</v>
      </c>
      <c r="I43" s="7">
        <v>5997</v>
      </c>
      <c r="J43" s="7">
        <v>25</v>
      </c>
      <c r="K43" s="7">
        <v>40</v>
      </c>
      <c r="L43" s="4" t="s">
        <v>213</v>
      </c>
      <c r="M43" s="7">
        <f t="shared" ca="1" si="1"/>
        <v>0</v>
      </c>
    </row>
    <row r="44" spans="1:13" ht="15" thickBot="1" x14ac:dyDescent="0.35">
      <c r="A44" s="7">
        <v>10044</v>
      </c>
      <c r="B44" s="23">
        <v>45701</v>
      </c>
      <c r="C44" s="4" t="s">
        <v>299</v>
      </c>
      <c r="D44" s="4" t="s">
        <v>215</v>
      </c>
      <c r="E44" s="4" t="s">
        <v>219</v>
      </c>
      <c r="F44" s="4" t="s">
        <v>300</v>
      </c>
      <c r="G44" s="7">
        <v>6</v>
      </c>
      <c r="H44" s="7">
        <v>2499</v>
      </c>
      <c r="I44" s="7">
        <v>9996</v>
      </c>
      <c r="J44" s="7">
        <v>30</v>
      </c>
      <c r="K44" s="7">
        <v>24</v>
      </c>
      <c r="L44" s="4" t="s">
        <v>217</v>
      </c>
      <c r="M44" s="7">
        <f t="shared" ca="1" si="1"/>
        <v>0</v>
      </c>
    </row>
    <row r="45" spans="1:13" ht="15" thickBot="1" x14ac:dyDescent="0.35">
      <c r="A45" s="7">
        <v>10045</v>
      </c>
      <c r="B45" s="23">
        <v>45702</v>
      </c>
      <c r="C45" s="4" t="s">
        <v>301</v>
      </c>
      <c r="D45" s="4" t="s">
        <v>205</v>
      </c>
      <c r="E45" s="4" t="s">
        <v>211</v>
      </c>
      <c r="F45" s="4" t="s">
        <v>302</v>
      </c>
      <c r="G45" s="7">
        <v>6</v>
      </c>
      <c r="H45" s="7">
        <v>2999</v>
      </c>
      <c r="I45" s="7">
        <v>14995</v>
      </c>
      <c r="J45" s="7">
        <v>18</v>
      </c>
      <c r="K45" s="7">
        <v>31</v>
      </c>
      <c r="L45" s="4" t="s">
        <v>208</v>
      </c>
      <c r="M45" s="7">
        <f t="shared" ca="1" si="1"/>
        <v>0</v>
      </c>
    </row>
    <row r="46" spans="1:13" ht="15" thickBot="1" x14ac:dyDescent="0.35">
      <c r="A46" s="7">
        <v>10046</v>
      </c>
      <c r="B46" s="23">
        <v>45703</v>
      </c>
      <c r="C46" s="4" t="s">
        <v>303</v>
      </c>
      <c r="D46" s="4" t="s">
        <v>222</v>
      </c>
      <c r="E46" s="4" t="s">
        <v>206</v>
      </c>
      <c r="F46" s="4" t="s">
        <v>304</v>
      </c>
      <c r="G46" s="7">
        <v>8</v>
      </c>
      <c r="H46" s="7">
        <v>999</v>
      </c>
      <c r="I46" s="7">
        <v>1998</v>
      </c>
      <c r="J46" s="7">
        <v>15</v>
      </c>
      <c r="K46" s="7">
        <v>29</v>
      </c>
      <c r="L46" s="4" t="s">
        <v>224</v>
      </c>
      <c r="M46" s="7">
        <f t="shared" ca="1" si="1"/>
        <v>0</v>
      </c>
    </row>
    <row r="47" spans="1:13" ht="15" thickBot="1" x14ac:dyDescent="0.35">
      <c r="A47" s="7">
        <v>10047</v>
      </c>
      <c r="B47" s="23">
        <v>45704</v>
      </c>
      <c r="C47" s="4" t="s">
        <v>305</v>
      </c>
      <c r="D47" s="4" t="s">
        <v>210</v>
      </c>
      <c r="E47" s="4" t="s">
        <v>219</v>
      </c>
      <c r="F47" s="4" t="s">
        <v>306</v>
      </c>
      <c r="G47" s="7">
        <v>4</v>
      </c>
      <c r="H47" s="7">
        <v>1499</v>
      </c>
      <c r="I47" s="7">
        <v>2998</v>
      </c>
      <c r="J47" s="7">
        <v>20</v>
      </c>
      <c r="K47" s="7">
        <v>45</v>
      </c>
      <c r="L47" s="4" t="s">
        <v>213</v>
      </c>
      <c r="M47" s="7">
        <f t="shared" ca="1" si="1"/>
        <v>0</v>
      </c>
    </row>
    <row r="48" spans="1:13" ht="15" thickBot="1" x14ac:dyDescent="0.35">
      <c r="A48" s="7">
        <v>10048</v>
      </c>
      <c r="B48" s="23">
        <v>45705</v>
      </c>
      <c r="C48" s="4" t="s">
        <v>307</v>
      </c>
      <c r="D48" s="4" t="s">
        <v>215</v>
      </c>
      <c r="E48" s="4" t="s">
        <v>211</v>
      </c>
      <c r="F48" s="4" t="s">
        <v>308</v>
      </c>
      <c r="G48" s="7">
        <v>6</v>
      </c>
      <c r="H48" s="7">
        <v>1999</v>
      </c>
      <c r="I48" s="7">
        <v>5997</v>
      </c>
      <c r="J48" s="7">
        <v>25</v>
      </c>
      <c r="K48" s="7">
        <v>32</v>
      </c>
      <c r="L48" s="4" t="s">
        <v>217</v>
      </c>
      <c r="M48" s="7">
        <f t="shared" ca="1" si="1"/>
        <v>0</v>
      </c>
    </row>
    <row r="49" spans="1:13" ht="15" thickBot="1" x14ac:dyDescent="0.35">
      <c r="A49" s="7">
        <v>10049</v>
      </c>
      <c r="B49" s="23">
        <v>45706</v>
      </c>
      <c r="C49" s="4" t="s">
        <v>309</v>
      </c>
      <c r="D49" s="4" t="s">
        <v>205</v>
      </c>
      <c r="E49" s="4" t="s">
        <v>206</v>
      </c>
      <c r="F49" s="4" t="s">
        <v>310</v>
      </c>
      <c r="G49" s="7">
        <v>9</v>
      </c>
      <c r="H49" s="7">
        <v>2499</v>
      </c>
      <c r="I49" s="7">
        <v>22491</v>
      </c>
      <c r="J49" s="7">
        <v>30</v>
      </c>
      <c r="K49" s="7">
        <v>27</v>
      </c>
      <c r="L49" s="4" t="s">
        <v>208</v>
      </c>
      <c r="M49" s="7">
        <f t="shared" ca="1" si="1"/>
        <v>0</v>
      </c>
    </row>
    <row r="50" spans="1:13" x14ac:dyDescent="0.3">
      <c r="A50" s="26">
        <v>10050</v>
      </c>
      <c r="B50" s="27">
        <v>45707</v>
      </c>
      <c r="C50" s="28" t="s">
        <v>311</v>
      </c>
      <c r="D50" s="28" t="s">
        <v>222</v>
      </c>
      <c r="E50" s="28" t="s">
        <v>219</v>
      </c>
      <c r="F50" s="28" t="s">
        <v>312</v>
      </c>
      <c r="G50" s="26">
        <v>8</v>
      </c>
      <c r="H50" s="26">
        <v>2999</v>
      </c>
      <c r="I50" s="26">
        <v>14995</v>
      </c>
      <c r="J50" s="26">
        <v>18</v>
      </c>
      <c r="K50" s="26">
        <v>39</v>
      </c>
      <c r="L50" s="28" t="s">
        <v>224</v>
      </c>
      <c r="M50" s="26">
        <f t="shared" ca="1" si="1"/>
        <v>0</v>
      </c>
    </row>
  </sheetData>
  <dataValidations count="1">
    <dataValidation type="list" allowBlank="1" showInputMessage="1" showErrorMessage="1" sqref="F2" xr:uid="{90C15CE6-5DCA-46ED-BBF5-A98AB12B840A}">
      <formula1>$H$2:$H$50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Theory part</vt:lpstr>
      <vt:lpstr>Road Accident data</vt:lpstr>
      <vt:lpstr>Pivot chart</vt:lpstr>
      <vt:lpstr>Sheet6</vt:lpstr>
      <vt:lpstr>Sheet8</vt:lpstr>
      <vt:lpstr>Sheet9</vt:lpstr>
      <vt:lpstr>SALES DEPT DATA</vt:lpstr>
      <vt:lpstr>Nova_Retail_Sales_Data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Singh</dc:creator>
  <cp:lastModifiedBy>Mrunali Kadwe</cp:lastModifiedBy>
  <dcterms:created xsi:type="dcterms:W3CDTF">2026-01-07T08:35:55Z</dcterms:created>
  <dcterms:modified xsi:type="dcterms:W3CDTF">2026-01-08T13:09:23Z</dcterms:modified>
</cp:coreProperties>
</file>